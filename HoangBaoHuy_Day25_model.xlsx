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33220996f143b0" /></Relationships>
</file>

<file path=xl/workbook.xml><?xml version="1.0" encoding="utf-8"?>
<x:workbook xmlns:x="http://schemas.openxmlformats.org/spreadsheetml/2006/main">
  <x:sheets>
    <x:sheet xmlns:r="http://schemas.openxmlformats.org/officeDocument/2006/relationships" name="1_Cost_Job" sheetId="1" r:id="R06e1a39c257e4069"/>
    <x:sheet xmlns:r="http://schemas.openxmlformats.org/officeDocument/2006/relationships" name="2_Pricing" sheetId="2" r:id="Re4f76ec3c2dd4a77"/>
    <x:sheet xmlns:r="http://schemas.openxmlformats.org/officeDocument/2006/relationships" name="3_Value_Metric" sheetId="3" r:id="R86040ef7c8494ce6"/>
    <x:sheet xmlns:r="http://schemas.openxmlformats.org/officeDocument/2006/relationships" name="4_GTM" sheetId="4" r:id="Rbf5712e462bd4bd6"/>
    <x:sheet xmlns:r="http://schemas.openxmlformats.org/officeDocument/2006/relationships" name="5_90Day_Evidence" sheetId="5" r:id="R2435e0195161467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 &quot;VND&quot;;[Red](#,##0 &quot;VND&quot;);-"/>
    <x:numFmt numFmtId="203" formatCode="0.0x"/>
    <x:numFmt numFmtId="204" formatCode="0"/>
    <x:numFmt numFmtId="205" formatCode="#,##0.0"/>
  </x:numFmts>
  <x:fonts count="12">
    <x:font>
      <x:sz val="11"/>
      <x:name val="Carlito"/>
    </x:font>
    <x:font>
      <x:b/>
      <x:sz val="16"/>
      <x:color rgb="FFFFFFFF"/>
      <x:name val="Aptos Display"/>
    </x:font>
    <x:font>
      <x:i/>
      <x:sz val="9"/>
      <x:color rgb="FF666666"/>
      <x:name val="Carlito"/>
    </x:font>
    <x:font>
      <x:b/>
      <x:sz val="10"/>
      <x:color rgb="FF000000"/>
      <x:name val="Aptos"/>
    </x:font>
    <x:font>
      <x:i/>
      <x:sz val="10"/>
      <x:color rgb="FF000000"/>
      <x:name val="Aptos"/>
    </x:font>
    <x:font>
      <x:sz val="10"/>
      <x:color rgb="FF000000"/>
      <x:name val="Aptos"/>
    </x:font>
    <x:font>
      <x:b/>
      <x:sz val="10"/>
      <x:color rgb="FFFFFFFF"/>
      <x:name val="Aptos"/>
    </x:font>
    <x:font>
      <x:sz val="10"/>
      <x:color rgb="FF0000FF"/>
      <x:name val="Aptos"/>
    </x:font>
    <x:font>
      <x:i/>
      <x:sz val="10"/>
      <x:color rgb="FF666666"/>
      <x:name val="Aptos"/>
    </x:font>
    <x:font>
      <x:b/>
      <x:i/>
      <x:sz val="10"/>
      <x:color rgb="FF666666"/>
      <x:name val="Aptos"/>
    </x:font>
    <x:font>
      <x:b/>
      <x:sz val="10"/>
      <x:color rgb="FF9C0006"/>
      <x:name val="Aptos"/>
    </x:font>
    <x:font>
      <x:sz val="10"/>
      <x:color rgb="FF008000"/>
      <x:name val="Aptos"/>
    </x:font>
  </x:fonts>
  <x:fills count="10">
    <x:fill>
      <x:patternFill patternType="none"/>
    </x:fill>
    <x:fill>
      <x:patternFill patternType="gray125"/>
    </x:fill>
    <x:fill>
      <x:patternFill patternType="solid">
        <x:fgColor rgb="FF17365D"/>
      </x:patternFill>
    </x:fill>
    <x:fill>
      <x:patternFill patternType="solid">
        <x:fgColor rgb="FF0F766E"/>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FCE4D6"/>
      </x:patternFill>
    </x:fill>
    <x:fill>
      <x:patternFill patternType="solid">
        <x:fgColor rgb="FFEAF2F8"/>
      </x:patternFill>
    </x:fill>
  </x:fills>
  <x:borders count="2">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3" fillId="2" borderId="0" xfId="0" applyNumberFormat="1" applyFont="1" applyFill="1" applyBorder="1" applyAlignment="1">
      <x:alignment horizontal="left" vertical="center"/>
    </x:xf>
    <x:xf numFmtId="0" fontId="4" fillId="0" borderId="0" xfId="0" applyNumberFormat="1" applyFont="1" applyFill="1" applyBorder="1" applyAlignment="1">
      <x:alignment wrapText="1"/>
    </x:xf>
    <x:xf numFmtId="0" fontId="5" fillId="0"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vertical="center"/>
    </x:xf>
    <x:xf numFmtId="0" fontId="5"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5"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5"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7" fillId="5" borderId="1" xfId="0" applyNumberFormat="1" applyFont="1" applyFill="1" applyBorder="1" applyAlignment="1">
      <x:alignment vertical="center"/>
    </x:xf>
    <x:xf numFmtId="0" fontId="8" fillId="7" borderId="1" xfId="0" applyNumberFormat="1" applyFont="1" applyFill="1" applyBorder="1" applyAlignment="1">
      <x:alignment vertical="top" wrapText="1"/>
    </x:xf>
    <x:xf numFmtId="0" fontId="5" fillId="0" borderId="1" xfId="0" applyNumberFormat="1" applyFont="1" applyFill="1" applyBorder="1" applyAlignment="1">
      <x:alignment vertical="center"/>
    </x:xf>
    <x:xf numFmtId="0" fontId="3" fillId="6" borderId="1" xfId="0" applyNumberFormat="1" applyFont="1" applyFill="1" applyBorder="1" applyAlignment="1">
      <x:alignment vertical="center"/>
    </x:xf>
    <x:xf numFmtId="200" fontId="7" fillId="5" borderId="1" xfId="0" applyNumberFormat="1" applyFont="1" applyFill="1" applyBorder="1" applyAlignment="1">
      <x:alignment vertical="center"/>
    </x:xf>
    <x:xf numFmtId="201" fontId="7" fillId="5" borderId="1" xfId="0" applyNumberFormat="1" applyFont="1" applyFill="1" applyBorder="1" applyAlignment="1">
      <x:alignment vertical="center"/>
    </x:xf>
    <x:xf numFmtId="200" fontId="5" fillId="0" borderId="1" xfId="0" applyNumberFormat="1" applyFont="1" applyFill="1" applyBorder="1" applyAlignment="1">
      <x:alignment vertical="center"/>
    </x:xf>
    <x:xf numFmtId="202" fontId="7" fillId="5" borderId="1" xfId="0" applyNumberFormat="1" applyFont="1" applyFill="1" applyBorder="1" applyAlignment="1">
      <x:alignment vertical="center"/>
    </x:xf>
    <x:xf numFmtId="202" fontId="3" fillId="6" borderId="1" xfId="0" applyNumberFormat="1" applyFont="1" applyFill="1" applyBorder="1" applyAlignment="1">
      <x:alignment vertical="center"/>
    </x:xf>
    <x:xf numFmtId="203" fontId="3" fillId="6" borderId="1" xfId="0" applyNumberFormat="1" applyFont="1" applyFill="1" applyBorder="1" applyAlignment="1">
      <x:alignment vertical="center"/>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5" fillId="5"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5" fillId="5" borderId="1" xfId="0" applyNumberFormat="1" applyFont="1" applyFill="1" applyBorder="1" applyAlignment="1">
      <x:alignment vertical="center"/>
    </x:xf>
    <x:xf numFmtId="202" fontId="5" fillId="5" borderId="1" xfId="0" applyNumberFormat="1" applyFont="1" applyFill="1" applyBorder="1" applyAlignment="1">
      <x:alignment vertical="center"/>
    </x:xf>
    <x:xf numFmtId="202" fontId="5" fillId="0" borderId="1" xfId="0" applyNumberFormat="1" applyFont="1" applyFill="1" applyBorder="1" applyAlignment="1">
      <x:alignment vertical="center"/>
    </x:xf>
    <x:xf numFmtId="201" fontId="3" fillId="6" borderId="1" xfId="0" applyNumberFormat="1" applyFont="1" applyFill="1" applyBorder="1" applyAlignment="1">
      <x:alignment vertical="center"/>
    </x:xf>
    <x:xf numFmtId="0" fontId="5" fillId="8" borderId="0" xfId="0" applyNumberFormat="1" applyFont="1" applyFill="1" applyBorder="1"/>
    <x:xf numFmtId="0" fontId="10" fillId="8" borderId="0" xfId="0" applyNumberFormat="1" applyFont="1" applyFill="1" applyBorder="1"/>
    <x:xf numFmtId="0" fontId="10" fillId="8" borderId="1" xfId="0" applyNumberFormat="1" applyFont="1" applyFill="1" applyBorder="1"/>
    <x:xf numFmtId="201" fontId="5" fillId="0" borderId="1" xfId="0" applyNumberFormat="1" applyFont="1" applyFill="1" applyBorder="1" applyAlignment="1">
      <x:alignment vertical="center"/>
    </x:xf>
    <x:xf numFmtId="204" fontId="7" fillId="5" borderId="1" xfId="0" applyNumberFormat="1" applyFont="1" applyFill="1" applyBorder="1" applyAlignment="1">
      <x:alignment vertical="center"/>
    </x:xf>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top" wrapText="1"/>
    </x:xf>
    <x:xf numFmtId="0" fontId="5" fillId="9"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1" fillId="0" borderId="0" xfId="0" applyNumberFormat="1" applyFont="1" applyFill="1" applyBorder="1" applyAlignment="1">
      <x:alignment vertical="center" wrapText="1"/>
    </x:xf>
    <x:xf numFmtId="0" fontId="5" fillId="0" borderId="1" xfId="0" applyNumberFormat="1" applyFont="1" applyFill="1" applyBorder="1" applyAlignment="1">
      <x:alignment vertical="top" wrapText="1"/>
    </x:xf>
    <x:xf numFmtId="0" fontId="11" fillId="0" borderId="1" xfId="0" applyNumberFormat="1" applyFont="1" applyFill="1" applyBorder="1" applyAlignment="1">
      <x:alignment vertical="center" wrapText="1"/>
    </x:xf>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7" fillId="5" borderId="1" xfId="0" applyNumberFormat="1" applyFont="1" applyFill="1" applyBorder="1" applyAlignment="1">
      <x:alignment vertical="center" wrapText="1"/>
    </x:xf>
    <x:xf numFmtId="0" fontId="7" fillId="6" borderId="0" xfId="0" applyNumberFormat="1" applyFont="1" applyFill="1" applyBorder="1" applyAlignment="1">
      <x:alignment vertical="center"/>
    </x:xf>
    <x:xf numFmtId="205" fontId="3" fillId="6" borderId="1" xfId="0" applyNumberFormat="1" applyFont="1" applyFill="1" applyBorder="1" applyAlignment="1">
      <x:alignment vertical="center"/>
    </x:xf>
    <x:xf numFmtId="0" fontId="5" fillId="7" borderId="0" xfId="0" applyNumberFormat="1" applyFont="1" applyFill="1" applyBorder="1" applyAlignment="1">
      <x:alignment vertical="center"/>
    </x:xf>
    <x:xf numFmtId="0" fontId="8" fillId="7" borderId="0" xfId="0" applyNumberFormat="1" applyFont="1" applyFill="1" applyBorder="1" applyAlignment="1">
      <x:alignment vertical="center"/>
    </x:xf>
    <x:xf numFmtId="0" fontId="8" fillId="7" borderId="0" xfId="0" applyNumberFormat="1" applyFont="1" applyFill="1" applyBorder="1" applyAlignment="1">
      <x:alignment vertical="center" wrapText="1"/>
    </x:xf>
    <x:xf numFmtId="0" fontId="5" fillId="5" borderId="0" xfId="0" applyNumberFormat="1" applyFont="1" applyFill="1" applyBorder="1" applyAlignment="1">
      <x:alignment vertical="top" wrapText="1"/>
    </x:xf>
    <x:xf numFmtId="0" fontId="7" fillId="5" borderId="0"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CE4D6"/>
        </x:patternFill>
      </x:fill>
    </x:dxf>
    <x:dxf>
      <x:font>
        <x:b/>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d031a1ed7545f8" /><Relationship Type="http://schemas.openxmlformats.org/officeDocument/2006/relationships/theme" Target="/xl/theme/theme1.xml" Id="Ra41d78c7421c4699" /><Relationship Type="http://schemas.openxmlformats.org/officeDocument/2006/relationships/sharedStrings" Target="/xl/sharedStrings.xml" Id="R18be28eebf59482d" /><Relationship Type="http://schemas.openxmlformats.org/officeDocument/2006/relationships/worksheet" Target="/xl/worksheets/sheet1.xml" Id="R06e1a39c257e4069" /><Relationship Type="http://schemas.openxmlformats.org/officeDocument/2006/relationships/worksheet" Target="/xl/worksheets/sheet2.xml" Id="Re4f76ec3c2dd4a77" /><Relationship Type="http://schemas.openxmlformats.org/officeDocument/2006/relationships/worksheet" Target="/xl/worksheets/sheet3.xml" Id="R86040ef7c8494ce6" /><Relationship Type="http://schemas.openxmlformats.org/officeDocument/2006/relationships/worksheet" Target="/xl/worksheets/sheet4.xml" Id="Rbf5712e462bd4bd6" /><Relationship Type="http://schemas.openxmlformats.org/officeDocument/2006/relationships/worksheet" Target="/xl/worksheets/sheet5.xml" Id="R2435e0195161467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22" hidden="0" customWidth="1"/>
    <x:col min="3" max="3" width="17" hidden="0" customWidth="1"/>
    <x:col min="4" max="4" width="21" hidden="0" customWidth="1"/>
    <x:col min="5" max="5" width="18" hidden="0" customWidth="1"/>
    <x:col min="6" max="6" width="18" hidden="0" customWidth="1"/>
    <x:col min="7" max="7" width="18" hidden="0" customWidth="1"/>
    <x:col min="8" max="8" width="18" hidden="0" customWidth="1"/>
  </x:cols>
  <x:sheetData>
    <x:row r="1" ht="28" customHeight="1">
      <x:c r="A1" s="7" t="str">
        <x:v>TutorAI Vietnam | Cost / Completed Job</x:v>
      </x:c>
      <x:c r="B1" s="7"/>
      <x:c r="C1" s="7"/>
      <x:c r="D1" s="7"/>
      <x:c r="E1" s="7"/>
      <x:c r="F1" s="7"/>
      <x:c r="G1" s="7"/>
      <x:c r="H1" s="7"/>
    </x:row>
    <x:row r="2" ht="28" customHeight="1">
      <x:c r="A2" s="8" t="str">
        <x:v>Currency: VND · as of 2026-08-27 · yellow = editable assumption · formulas use completed jobs, not attempted jobs.</x:v>
      </x:c>
      <x:c r="B2" s="8"/>
      <x:c r="C2" s="8"/>
      <x:c r="D2" s="8"/>
      <x:c r="E2" s="8"/>
      <x:c r="F2" s="8"/>
      <x:c r="G2" s="8"/>
      <x:c r="H2" s="8"/>
    </x:row>
    <x:row r="3">
      <x:c r="A3" s="9"/>
      <x:c r="B3" s="9"/>
      <x:c r="C3" s="9"/>
      <x:c r="D3" s="9"/>
      <x:c r="E3" s="9"/>
      <x:c r="F3" s="9"/>
      <x:c r="G3" s="9"/>
      <x:c r="H3" s="9"/>
    </x:row>
    <x:row r="4" ht="20" customHeight="1">
      <x:c r="A4" s="12" t="str">
        <x:v>1. Job definition and operating model</x:v>
      </x:c>
      <x:c r="B4" s="12"/>
      <x:c r="C4" s="12"/>
      <x:c r="D4" s="12"/>
      <x:c r="E4" s="12"/>
      <x:c r="F4" s="12"/>
      <x:c r="G4" s="12"/>
      <x:c r="H4" s="12"/>
    </x:row>
    <x:row r="5">
      <x:c r="A5" s="19" t="str">
        <x:v>Product</x:v>
      </x:c>
      <x:c r="B5" s="20" t="str">
        <x:v>TutorAI Vietnam</x:v>
      </x:c>
      <x:c r="C5" s="9"/>
      <x:c r="D5" s="9"/>
      <x:c r="E5" s="9"/>
      <x:c r="F5" s="9"/>
      <x:c r="G5" s="9"/>
      <x:c r="H5" s="9"/>
    </x:row>
    <x:row r="6" ht="36" customHeight="1">
      <x:c r="A6" s="19" t="str">
        <x:v>Completed job</x:v>
      </x:c>
      <x:c r="B6" s="20" t="str">
        <x:v>A student receives a source-grounded answer to an in-scope course question, can open the cited course material, and finishes the session without a retry or unsupported-answer handoff.</x:v>
      </x:c>
      <x:c r="C6" s="9"/>
      <x:c r="D6" s="9"/>
      <x:c r="E6" s="9"/>
      <x:c r="F6" s="9"/>
      <x:c r="G6" s="9"/>
      <x:c r="H6" s="9"/>
    </x:row>
    <x:row r="7" ht="36" customHeight="1">
      <x:c r="A7" s="19" t="str">
        <x:v>Commercial model</x:v>
      </x:c>
      <x:c r="B7" s="20" t="str">
        <x:v>Software / HITL Variant A</x:v>
      </x:c>
      <x:c r="C7" s="9"/>
      <x:c r="D7" s="9"/>
      <x:c r="E7" s="9"/>
      <x:c r="F7" s="9"/>
      <x:c r="G7" s="9"/>
      <x:c r="H7" s="9"/>
    </x:row>
    <x:row r="8" ht="36" customHeight="1">
      <x:c r="A8" s="19" t="str">
        <x:v>HITL treatment</x:v>
      </x:c>
      <x:c r="B8" s="20" t="str">
        <x:v>Student handles escalations; TutorAI still bears sampled internal QA, so HITL is non-zero in COGS.</x:v>
      </x:c>
      <x:c r="C8" s="9"/>
      <x:c r="D8" s="9"/>
      <x:c r="E8" s="9"/>
      <x:c r="F8" s="9"/>
      <x:c r="G8" s="9"/>
      <x:c r="H8" s="9"/>
    </x:row>
    <x:row r="9" ht="36" customHeight="1">
      <x:c r="A9" s="19" t="str">
        <x:v>Assumption status</x:v>
      </x:c>
      <x:c r="B9" s="20" t="str">
        <x:v>80% containment is a commercial assumption, not a measured TutorAI eval result.</x:v>
      </x:c>
      <x:c r="C9" s="9"/>
      <x:c r="D9" s="9"/>
      <x:c r="E9" s="9"/>
      <x:c r="F9" s="9"/>
      <x:c r="G9" s="9"/>
      <x:c r="H9" s="9"/>
    </x:row>
    <x:row r="10">
      <x:c r="A10" s="9"/>
      <x:c r="B10" s="9"/>
      <x:c r="C10" s="9"/>
      <x:c r="D10" s="9"/>
      <x:c r="E10" s="9"/>
      <x:c r="F10" s="9"/>
      <x:c r="G10" s="9"/>
      <x:c r="H10" s="9"/>
    </x:row>
    <x:row r="11" ht="20" customHeight="1">
      <x:c r="A11" s="12" t="str">
        <x:v>2. Monthly cost model (per active student)</x:v>
      </x:c>
      <x:c r="B11" s="12"/>
      <x:c r="C11" s="12"/>
      <x:c r="D11" s="12"/>
      <x:c r="E11" s="12"/>
      <x:c r="F11" s="12"/>
      <x:c r="G11" s="12"/>
      <x:c r="H11" s="12"/>
    </x:row>
    <x:row r="12">
      <x:c r="A12" s="19" t="str">
        <x:v>Driver</x:v>
      </x:c>
      <x:c r="B12" s="19" t="str">
        <x:v>Input / Formula</x:v>
      </x:c>
      <x:c r="C12" s="19" t="str">
        <x:v>Audit note</x:v>
      </x:c>
      <x:c r="D12" s="9"/>
      <x:c r="E12" s="9"/>
      <x:c r="F12" s="9"/>
      <x:c r="G12" s="9"/>
      <x:c r="H12" s="9"/>
    </x:row>
    <x:row r="13">
      <x:c r="A13" s="20" t="str">
        <x:v>Attempted study sessions / month</x:v>
      </x:c>
      <x:c r="B13" s="36" t="n">
        <x:v>30</x:v>
      </x:c>
      <x:c r="C13" s="33" t="str">
        <x:v>Included credit requests in the base plan</x:v>
      </x:c>
      <x:c r="D13" s="9"/>
      <x:c r="E13" s="9"/>
      <x:c r="F13" s="9"/>
      <x:c r="G13" s="9"/>
      <x:c r="H13" s="9"/>
    </x:row>
    <x:row r="14">
      <x:c r="A14" s="20" t="str">
        <x:v>Containment assumption</x:v>
      </x:c>
      <x:c r="B14" s="37" t="n">
        <x:v>0.8</x:v>
      </x:c>
      <x:c r="C14" s="33" t="str">
        <x:v>To validate with 100 TutorAI sessions by Day 30</x:v>
      </x:c>
      <x:c r="D14" s="9"/>
      <x:c r="E14" s="9"/>
      <x:c r="F14" s="9"/>
      <x:c r="G14" s="9"/>
      <x:c r="H14" s="9"/>
    </x:row>
    <x:row r="15">
      <x:c r="A15" s="20" t="str">
        <x:v>Completed jobs / month</x:v>
      </x:c>
      <x:c r="B15" s="38" t="n">
        <x:f>B13*B14</x:f>
        <x:v>24</x:v>
      </x:c>
      <x:c r="C15" s="33" t="str">
        <x:v>Denominator used throughout this tab</x:v>
      </x:c>
      <x:c r="D15" s="9"/>
      <x:c r="E15" s="9"/>
      <x:c r="F15" s="9"/>
      <x:c r="G15" s="9"/>
      <x:c r="H15" s="9"/>
    </x:row>
    <x:row r="16">
      <x:c r="A16" s="20" t="str">
        <x:v>API / inference</x:v>
      </x:c>
      <x:c r="B16" s="39" t="n">
        <x:v>30000</x:v>
      </x:c>
      <x:c r="C16" s="33" t="str">
        <x:v>Inherited Day 24 monthly allowance; refresh against live provider price before launch</x:v>
      </x:c>
      <x:c r="D16" s="9"/>
      <x:c r="E16" s="9"/>
      <x:c r="F16" s="9"/>
      <x:c r="G16" s="9"/>
      <x:c r="H16" s="9"/>
    </x:row>
    <x:row r="17">
      <x:c r="A17" s="20" t="str">
        <x:v>Infrastructure</x:v>
      </x:c>
      <x:c r="B17" s="39" t="n">
        <x:v>8000</x:v>
      </x:c>
      <x:c r="C17" s="33" t="str">
        <x:v>Hosting, retrieval store, logging and storage allocation</x:v>
      </x:c>
      <x:c r="D17" s="9"/>
      <x:c r="E17" s="9"/>
      <x:c r="F17" s="9"/>
      <x:c r="G17" s="9"/>
      <x:c r="H17" s="9"/>
    </x:row>
    <x:row r="18">
      <x:c r="A18" s="20" t="str">
        <x:v>HITL / sampled QA</x:v>
      </x:c>
      <x:c r="B18" s="39" t="n">
        <x:v>6000</x:v>
      </x:c>
      <x:c r="C18" s="33" t="str">
        <x:v>Internal QA sample and quality review; customer escalation labor excluded</x:v>
      </x:c>
      <x:c r="D18" s="9"/>
      <x:c r="E18" s="9"/>
      <x:c r="F18" s="9"/>
      <x:c r="G18" s="9"/>
      <x:c r="H18" s="9"/>
    </x:row>
    <x:row r="19">
      <x:c r="A19" s="20" t="str">
        <x:v>Retry / timeout reserve</x:v>
      </x:c>
      <x:c r="B19" s="39" t="n">
        <x:v>3000</x:v>
      </x:c>
      <x:c r="C19" s="33" t="str">
        <x:v>Allowance for failed calls and re-runs</x:v>
      </x:c>
      <x:c r="D19" s="9"/>
      <x:c r="E19" s="9"/>
      <x:c r="F19" s="9"/>
      <x:c r="G19" s="9"/>
      <x:c r="H19" s="9"/>
    </x:row>
    <x:row r="20">
      <x:c r="A20" s="20" t="str">
        <x:v>Allocated overhead</x:v>
      </x:c>
      <x:c r="B20" s="39" t="n">
        <x:v>7000</x:v>
      </x:c>
      <x:c r="C20" s="33" t="str">
        <x:v>Support, observability, compliance and product allocation</x:v>
      </x:c>
      <x:c r="D20" s="9"/>
      <x:c r="E20" s="9"/>
      <x:c r="F20" s="9"/>
      <x:c r="G20" s="9"/>
      <x:c r="H20" s="9"/>
    </x:row>
    <x:row r="21">
      <x:c r="A21" s="20" t="str">
        <x:v>Total direct COGS</x:v>
      </x:c>
      <x:c r="B21" s="40" t="n">
        <x:f>SUM(B16:B20)</x:f>
        <x:v>54000</x:v>
      </x:c>
      <x:c r="C21" s="33" t="str">
        <x:v>All five required components included</x:v>
      </x:c>
      <x:c r="D21" s="9"/>
      <x:c r="E21" s="9"/>
      <x:c r="F21" s="9"/>
      <x:c r="G21" s="9"/>
      <x:c r="H21" s="9"/>
    </x:row>
    <x:row r="22">
      <x:c r="A22" s="20" t="str">
        <x:v>Cost / completed job</x:v>
      </x:c>
      <x:c r="B22" s="40" t="n">
        <x:f>B21/B15</x:f>
        <x:v>2250</x:v>
      </x:c>
      <x:c r="C22" s="33" t="str">
        <x:v>Total direct COGS divided by completed jobs only</x:v>
      </x:c>
      <x:c r="D22" s="9"/>
      <x:c r="E22" s="9"/>
      <x:c r="F22" s="9"/>
      <x:c r="G22" s="9"/>
      <x:c r="H22" s="9"/>
    </x:row>
    <x:row r="23">
      <x:c r="A23" s="20" t="str">
        <x:v>Check: all required costs &gt; 0</x:v>
      </x:c>
      <x:c r="B23" s="35" t="str">
        <x:f>IF(MIN(B16:B20)&gt;0,"OK","CHECK")</x:f>
        <x:v>OK</x:v>
      </x:c>
      <x:c r="C23" s="33" t="str">
        <x:v>Required for model validity</x:v>
      </x:c>
      <x:c r="D23" s="9"/>
      <x:c r="E23" s="9"/>
      <x:c r="F23" s="9"/>
      <x:c r="G23" s="9"/>
      <x:c r="H23" s="9"/>
    </x:row>
    <x:row r="24">
      <x:c r="A24" s="9"/>
      <x:c r="B24" s="9"/>
      <x:c r="C24" s="9"/>
      <x:c r="D24" s="9"/>
      <x:c r="E24" s="9"/>
      <x:c r="F24" s="9"/>
      <x:c r="G24" s="9"/>
      <x:c r="H24" s="9"/>
    </x:row>
    <x:row r="25" ht="20" customHeight="1">
      <x:c r="A25" s="12" t="str">
        <x:v>3. Formula-linked output</x:v>
      </x:c>
      <x:c r="B25" s="12"/>
      <x:c r="C25" s="12"/>
      <x:c r="D25" s="12"/>
      <x:c r="E25" s="12"/>
      <x:c r="F25" s="12"/>
      <x:c r="G25" s="12"/>
      <x:c r="H25" s="12"/>
    </x:row>
    <x:row r="26">
      <x:c r="A26" s="19" t="str">
        <x:v>Base plan revenue / month</x:v>
      </x:c>
      <x:c r="B26" s="40" t="n">
        <x:f>'2_Pricing'!B8</x:f>
        <x:v>199000</x:v>
      </x:c>
      <x:c r="C26" s="33" t="str">
        <x:v>Linked to Pricing tab</x:v>
      </x:c>
      <x:c r="D26" s="9"/>
      <x:c r="E26" s="9"/>
      <x:c r="F26" s="9"/>
      <x:c r="G26" s="9"/>
      <x:c r="H26" s="9"/>
    </x:row>
    <x:row r="27">
      <x:c r="A27" s="19" t="str">
        <x:v>Revenue / expected completed job</x:v>
      </x:c>
      <x:c r="B27" s="40" t="n">
        <x:f>B26/B15</x:f>
        <x:v>8291.666666666666</x:v>
      </x:c>
      <x:c r="C27" s="33" t="str">
        <x:v>Used to test the 3× price-to-cost gate</x:v>
      </x:c>
      <x:c r="D27" s="9"/>
      <x:c r="E27" s="9"/>
      <x:c r="F27" s="9"/>
      <x:c r="G27" s="9"/>
      <x:c r="H27" s="9"/>
    </x:row>
    <x:row r="28">
      <x:c r="A28" s="19" t="str">
        <x:v>Price / Cost multiple</x:v>
      </x:c>
      <x:c r="B28" s="41" t="n">
        <x:f>B27/B22</x:f>
        <x:v>3.685185185185185</x:v>
      </x:c>
      <x:c r="C28" s="33" t="str">
        <x:v>Target ≥ 3.0×</x:v>
      </x:c>
      <x:c r="D28" s="9"/>
      <x:c r="E28" s="9"/>
      <x:c r="F28" s="9"/>
      <x:c r="G28" s="9"/>
      <x:c r="H28" s="9"/>
    </x:row>
    <x:row r="29">
      <x:c r="A29" s="9"/>
      <x:c r="B29" s="9"/>
      <x:c r="C29" s="9"/>
      <x:c r="D29" s="9"/>
      <x:c r="E29" s="9"/>
      <x:c r="F29" s="9"/>
      <x:c r="G29" s="9"/>
      <x:c r="H29" s="9"/>
    </x:row>
    <x:row r="30">
      <x:c r="A30" s="43" t="str">
        <x:v>Evidence gap</x:v>
      </x:c>
      <x:c r="B30" s="33" t="str">
        <x:v>No attributed TutorAI eval score is available yet. The Day 21 repo is only a method benchmark and is not claimed as Huy’s evidence.</x:v>
      </x:c>
      <x:c r="C30" s="33" t="str"/>
      <x:c r="D30" s="9"/>
      <x:c r="E30" s="9"/>
      <x:c r="F30" s="9"/>
      <x:c r="G30" s="9"/>
      <x:c r="H30" s="9"/>
    </x:row>
    <x:row r="31">
      <x:c r="A31" s="43" t="str">
        <x:v>Launch gate</x:v>
      </x:c>
      <x:c r="B31" s="33" t="str">
        <x:v>Observed containment must be ≥ 67.8% to protect a conservative 60% job-level GM calculation.</x:v>
      </x:c>
      <x:c r="C31" s="33" t="str"/>
      <x:c r="D31" s="9"/>
      <x:c r="E31" s="9"/>
      <x:c r="F31" s="9"/>
      <x:c r="G31" s="9"/>
      <x:c r="H31" s="9"/>
    </x:row>
    <x:row r="32">
      <x:c r="A32" s="43" t="str">
        <x:v>Source lineage</x:v>
      </x:c>
      <x:c r="B32" s="33" t="str">
        <x:v>Day 24: ARPU 199,000 VND, API allowance 30,000 VND, hidden-cost allowance 12,000 VND. All retained as labelled assumptions.</x:v>
      </x:c>
      <x:c r="C32" s="33" t="str"/>
      <x:c r="D32" s="9"/>
      <x:c r="E32" s="9"/>
      <x:c r="F32" s="9"/>
      <x:c r="G32" s="9"/>
      <x:c r="H32" s="9"/>
    </x:row>
    <x:row r="33">
      <x:c r="A33" s="9"/>
      <x:c r="B33" s="9"/>
      <x:c r="C33" s="9"/>
      <x:c r="D33" s="9"/>
      <x:c r="E33" s="9"/>
      <x:c r="F33" s="9"/>
      <x:c r="G33" s="9"/>
      <x:c r="H33" s="9"/>
    </x:row>
    <x:row r="34">
      <x:c r="A34" s="9"/>
      <x:c r="B34" s="9"/>
      <x:c r="C34" s="9"/>
      <x:c r="D34" s="9"/>
      <x:c r="E34" s="9"/>
      <x:c r="F34" s="9"/>
      <x:c r="G34" s="9"/>
      <x:c r="H34" s="9"/>
    </x:row>
    <x:row r="35">
      <x:c r="A35" s="9"/>
      <x:c r="B35" s="9"/>
      <x:c r="C35" s="9"/>
      <x:c r="D35" s="9"/>
      <x:c r="E35" s="9"/>
      <x:c r="F35" s="9"/>
      <x:c r="G35" s="9"/>
      <x:c r="H35" s="9"/>
    </x:row>
    <x:row r="36">
      <x:c r="A36" s="9"/>
      <x:c r="B36" s="9"/>
      <x:c r="C36" s="9"/>
      <x:c r="D36" s="9"/>
      <x:c r="E36" s="9"/>
      <x:c r="F36" s="9"/>
      <x:c r="G36" s="9"/>
      <x:c r="H36" s="9"/>
    </x:row>
    <x:row r="37">
      <x:c r="A37" s="9"/>
      <x:c r="B37" s="9"/>
      <x:c r="C37" s="9"/>
      <x:c r="D37" s="9"/>
      <x:c r="E37" s="9"/>
      <x:c r="F37" s="9"/>
      <x:c r="G37" s="9"/>
      <x:c r="H37" s="9"/>
    </x:row>
    <x:row r="38">
      <x:c r="A38" s="9"/>
      <x:c r="B38" s="9"/>
      <x:c r="C38" s="9"/>
      <x:c r="D38" s="9"/>
      <x:c r="E38" s="9"/>
      <x:c r="F38" s="9"/>
      <x:c r="G38" s="9"/>
      <x:c r="H38" s="9"/>
    </x:row>
    <x:row r="39">
      <x:c r="A39" s="9"/>
      <x:c r="B39" s="9"/>
      <x:c r="C39" s="9"/>
      <x:c r="D39" s="9"/>
      <x:c r="E39" s="9"/>
      <x:c r="F39" s="9"/>
      <x:c r="G39" s="9"/>
      <x:c r="H39" s="9"/>
    </x:row>
    <x:row r="40">
      <x:c r="A40" s="9"/>
      <x:c r="B40" s="9"/>
      <x:c r="C40" s="9"/>
      <x:c r="D40" s="9"/>
      <x:c r="E40" s="9"/>
      <x:c r="F40" s="9"/>
      <x:c r="G40" s="9"/>
      <x:c r="H40" s="9"/>
    </x:row>
    <x:row r="41">
      <x:c r="A41" s="9"/>
      <x:c r="B41" s="9"/>
      <x:c r="C41" s="9"/>
      <x:c r="D41" s="9"/>
      <x:c r="E41" s="9"/>
      <x:c r="F41" s="9"/>
      <x:c r="G41" s="9"/>
      <x:c r="H41" s="9"/>
    </x:row>
    <x:row r="42">
      <x:c r="A42" s="9"/>
      <x:c r="B42" s="9"/>
      <x:c r="C42" s="9"/>
      <x:c r="D42" s="9"/>
      <x:c r="E42" s="9"/>
      <x:c r="F42" s="9"/>
      <x:c r="G42" s="9"/>
      <x:c r="H42" s="9"/>
    </x:row>
    <x:row r="43">
      <x:c r="A43" s="9"/>
      <x:c r="B43" s="9"/>
      <x:c r="C43" s="9"/>
      <x:c r="D43" s="9"/>
      <x:c r="E43" s="9"/>
      <x:c r="F43" s="9"/>
      <x:c r="G43" s="9"/>
      <x:c r="H43" s="9"/>
    </x:row>
    <x:row r="44">
      <x:c r="A44" s="9"/>
      <x:c r="B44" s="9"/>
      <x:c r="C44" s="9"/>
      <x:c r="D44" s="9"/>
      <x:c r="E44" s="9"/>
      <x:c r="F44" s="9"/>
      <x:c r="G44" s="9"/>
      <x:c r="H44" s="9"/>
    </x:row>
    <x:row r="45">
      <x:c r="A45" s="9"/>
      <x:c r="B45" s="9"/>
      <x:c r="C45" s="9"/>
      <x:c r="D45" s="9"/>
      <x:c r="E45" s="9"/>
      <x:c r="F45" s="9"/>
      <x:c r="G45" s="9"/>
      <x:c r="H45" s="9"/>
    </x:row>
    <x:row r="46">
      <x:c r="A46" s="9"/>
      <x:c r="B46" s="9"/>
      <x:c r="C46" s="9"/>
      <x:c r="D46" s="9"/>
      <x:c r="E46" s="9"/>
      <x:c r="F46" s="9"/>
      <x:c r="G46" s="9"/>
      <x:c r="H46" s="9"/>
    </x:row>
    <x:row r="47">
      <x:c r="A47" s="9"/>
      <x:c r="B47" s="9"/>
      <x:c r="C47" s="9"/>
      <x:c r="D47" s="9"/>
      <x:c r="E47" s="9"/>
      <x:c r="F47" s="9"/>
      <x:c r="G47" s="9"/>
      <x:c r="H47" s="9"/>
    </x:row>
    <x:row r="48">
      <x:c r="A48" s="9"/>
      <x:c r="B48" s="9"/>
      <x:c r="C48" s="9"/>
      <x:c r="D48" s="9"/>
      <x:c r="E48" s="9"/>
      <x:c r="F48" s="9"/>
      <x:c r="G48" s="9"/>
      <x:c r="H48" s="9"/>
    </x:row>
    <x:row r="49">
      <x:c r="A49" s="9"/>
      <x:c r="B49" s="9"/>
      <x:c r="C49" s="9"/>
      <x:c r="D49" s="9"/>
      <x:c r="E49" s="9"/>
      <x:c r="F49" s="9"/>
      <x:c r="G49" s="9"/>
      <x:c r="H49" s="9"/>
    </x:row>
    <x:row r="50">
      <x:c r="A50" s="9"/>
      <x:c r="B50" s="9"/>
      <x:c r="C50" s="9"/>
      <x:c r="D50" s="9"/>
      <x:c r="E50" s="9"/>
      <x:c r="F50" s="9"/>
      <x:c r="G50" s="9"/>
      <x:c r="H50" s="9"/>
    </x:row>
    <x:row r="51">
      <x:c r="A51" s="9"/>
      <x:c r="B51" s="9"/>
      <x:c r="C51" s="9"/>
      <x:c r="D51" s="9"/>
      <x:c r="E51" s="9"/>
      <x:c r="F51" s="9"/>
      <x:c r="G51" s="9"/>
      <x:c r="H51" s="9"/>
    </x:row>
    <x:row r="52">
      <x:c r="A52" s="9"/>
      <x:c r="B52" s="9"/>
      <x:c r="C52" s="9"/>
      <x:c r="D52" s="9"/>
      <x:c r="E52" s="9"/>
      <x:c r="F52" s="9"/>
      <x:c r="G52" s="9"/>
      <x:c r="H52" s="9"/>
    </x:row>
    <x:row r="53">
      <x:c r="A53" s="9"/>
      <x:c r="B53" s="9"/>
      <x:c r="C53" s="9"/>
      <x:c r="D53" s="9"/>
      <x:c r="E53" s="9"/>
      <x:c r="F53" s="9"/>
      <x:c r="G53" s="9"/>
      <x:c r="H53" s="9"/>
    </x:row>
    <x:row r="54">
      <x:c r="A54" s="9"/>
      <x:c r="B54" s="9"/>
      <x:c r="C54" s="9"/>
      <x:c r="D54" s="9"/>
      <x:c r="E54" s="9"/>
      <x:c r="F54" s="9"/>
      <x:c r="G54" s="9"/>
      <x:c r="H54" s="9"/>
    </x:row>
    <x:row r="55">
      <x:c r="A55" s="9"/>
      <x:c r="B55" s="9"/>
      <x:c r="C55" s="9"/>
      <x:c r="D55" s="9"/>
      <x:c r="E55" s="9"/>
      <x:c r="F55" s="9"/>
      <x:c r="G55" s="9"/>
      <x:c r="H55" s="9"/>
    </x:row>
    <x:row r="56">
      <x:c r="A56" s="9"/>
      <x:c r="B56" s="9"/>
      <x:c r="C56" s="9"/>
      <x:c r="D56" s="9"/>
      <x:c r="E56" s="9"/>
      <x:c r="F56" s="9"/>
      <x:c r="G56" s="9"/>
      <x:c r="H56" s="9"/>
    </x:row>
    <x:row r="57">
      <x:c r="A57" s="9"/>
      <x:c r="B57" s="9"/>
      <x:c r="C57" s="9"/>
      <x:c r="D57" s="9"/>
      <x:c r="E57" s="9"/>
      <x:c r="F57" s="9"/>
      <x:c r="G57" s="9"/>
      <x:c r="H57" s="9"/>
    </x:row>
    <x:row r="58">
      <x:c r="A58" s="9"/>
      <x:c r="B58" s="9"/>
      <x:c r="C58" s="9"/>
      <x:c r="D58" s="9"/>
      <x:c r="E58" s="9"/>
      <x:c r="F58" s="9"/>
      <x:c r="G58" s="9"/>
      <x:c r="H58" s="9"/>
    </x:row>
    <x:row r="59">
      <x:c r="A59" s="9"/>
      <x:c r="B59" s="9"/>
      <x:c r="C59" s="9"/>
      <x:c r="D59" s="9"/>
      <x:c r="E59" s="9"/>
      <x:c r="F59" s="9"/>
      <x:c r="G59" s="9"/>
      <x:c r="H59" s="9"/>
    </x:row>
    <x:row r="60">
      <x:c r="A60" s="9"/>
      <x:c r="B60" s="9"/>
      <x:c r="C60" s="9"/>
      <x:c r="D60" s="9"/>
      <x:c r="E60" s="9"/>
      <x:c r="F60" s="9"/>
      <x:c r="G60" s="9"/>
      <x:c r="H60" s="9"/>
    </x:row>
    <x:row r="61">
      <x:c r="A61" s="9"/>
      <x:c r="B61" s="9"/>
      <x:c r="C61" s="9"/>
      <x:c r="D61" s="9"/>
      <x:c r="E61" s="9"/>
      <x:c r="F61" s="9"/>
      <x:c r="G61" s="9"/>
      <x:c r="H61" s="9"/>
    </x:row>
    <x:row r="62">
      <x:c r="A62" s="9"/>
      <x:c r="B62" s="9"/>
      <x:c r="C62" s="9"/>
      <x:c r="D62" s="9"/>
      <x:c r="E62" s="9"/>
      <x:c r="F62" s="9"/>
      <x:c r="G62" s="9"/>
      <x:c r="H62" s="9"/>
    </x:row>
    <x:row r="63">
      <x:c r="A63" s="9"/>
      <x:c r="B63" s="9"/>
      <x:c r="C63" s="9"/>
      <x:c r="D63" s="9"/>
      <x:c r="E63" s="9"/>
      <x:c r="F63" s="9"/>
      <x:c r="G63" s="9"/>
      <x:c r="H63" s="9"/>
    </x:row>
    <x:row r="64">
      <x:c r="A64" s="9"/>
      <x:c r="B64" s="9"/>
      <x:c r="C64" s="9"/>
      <x:c r="D64" s="9"/>
      <x:c r="E64" s="9"/>
      <x:c r="F64" s="9"/>
      <x:c r="G64" s="9"/>
      <x:c r="H64" s="9"/>
    </x:row>
    <x:row r="65">
      <x:c r="A65" s="9"/>
      <x:c r="B65" s="9"/>
      <x:c r="C65" s="9"/>
      <x:c r="D65" s="9"/>
      <x:c r="E65" s="9"/>
      <x:c r="F65" s="9"/>
      <x:c r="G65" s="9"/>
      <x:c r="H65" s="9"/>
    </x:row>
    <x:row r="66">
      <x:c r="A66" s="9"/>
      <x:c r="B66" s="9"/>
      <x:c r="C66" s="9"/>
      <x:c r="D66" s="9"/>
      <x:c r="E66" s="9"/>
      <x:c r="F66" s="9"/>
      <x:c r="G66" s="9"/>
      <x:c r="H66" s="9"/>
    </x:row>
    <x:row r="67">
      <x:c r="A67" s="9"/>
      <x:c r="B67" s="9"/>
      <x:c r="C67" s="9"/>
      <x:c r="D67" s="9"/>
      <x:c r="E67" s="9"/>
      <x:c r="F67" s="9"/>
      <x:c r="G67" s="9"/>
      <x:c r="H67" s="9"/>
    </x:row>
    <x:row r="68">
      <x:c r="A68" s="9"/>
      <x:c r="B68" s="9"/>
      <x:c r="C68" s="9"/>
      <x:c r="D68" s="9"/>
      <x:c r="E68" s="9"/>
      <x:c r="F68" s="9"/>
      <x:c r="G68" s="9"/>
      <x:c r="H68" s="9"/>
    </x:row>
    <x:row r="69">
      <x:c r="A69" s="9"/>
      <x:c r="B69" s="9"/>
      <x:c r="C69" s="9"/>
      <x:c r="D69" s="9"/>
      <x:c r="E69" s="9"/>
      <x:c r="F69" s="9"/>
      <x:c r="G69" s="9"/>
      <x:c r="H69" s="9"/>
    </x:row>
    <x:row r="70">
      <x:c r="A70" s="9"/>
      <x:c r="B70" s="9"/>
      <x:c r="C70" s="9"/>
      <x:c r="D70" s="9"/>
      <x:c r="E70" s="9"/>
      <x:c r="F70" s="9"/>
      <x:c r="G70" s="9"/>
      <x:c r="H70" s="9"/>
    </x:row>
    <x:row r="71">
      <x:c r="A71" s="9"/>
      <x:c r="B71" s="9"/>
      <x:c r="C71" s="9"/>
      <x:c r="D71" s="9"/>
      <x:c r="E71" s="9"/>
      <x:c r="F71" s="9"/>
      <x:c r="G71" s="9"/>
      <x:c r="H71" s="9"/>
    </x:row>
    <x:row r="72">
      <x:c r="A72" s="9"/>
      <x:c r="B72" s="9"/>
      <x:c r="C72" s="9"/>
      <x:c r="D72" s="9"/>
      <x:c r="E72" s="9"/>
      <x:c r="F72" s="9"/>
      <x:c r="G72" s="9"/>
      <x:c r="H72" s="9"/>
    </x:row>
    <x:row r="73">
      <x:c r="A73" s="9"/>
      <x:c r="B73" s="9"/>
      <x:c r="C73" s="9"/>
      <x:c r="D73" s="9"/>
      <x:c r="E73" s="9"/>
      <x:c r="F73" s="9"/>
      <x:c r="G73" s="9"/>
      <x:c r="H73" s="9"/>
    </x:row>
    <x:row r="74">
      <x:c r="A74" s="9"/>
      <x:c r="B74" s="9"/>
      <x:c r="C74" s="9"/>
      <x:c r="D74" s="9"/>
      <x:c r="E74" s="9"/>
      <x:c r="F74" s="9"/>
      <x:c r="G74" s="9"/>
      <x:c r="H74" s="9"/>
    </x:row>
    <x:row r="75">
      <x:c r="A75" s="9"/>
      <x:c r="B75" s="9"/>
      <x:c r="C75" s="9"/>
      <x:c r="D75" s="9"/>
      <x:c r="E75" s="9"/>
      <x:c r="F75" s="9"/>
      <x:c r="G75" s="9"/>
      <x:c r="H75" s="9"/>
    </x:row>
    <x:row r="76">
      <x:c r="A76" s="9"/>
      <x:c r="B76" s="9"/>
      <x:c r="C76" s="9"/>
      <x:c r="D76" s="9"/>
      <x:c r="E76" s="9"/>
      <x:c r="F76" s="9"/>
      <x:c r="G76" s="9"/>
      <x:c r="H76" s="9"/>
    </x:row>
    <x:row r="77">
      <x:c r="A77" s="9"/>
      <x:c r="B77" s="9"/>
      <x:c r="C77" s="9"/>
      <x:c r="D77" s="9"/>
      <x:c r="E77" s="9"/>
      <x:c r="F77" s="9"/>
      <x:c r="G77" s="9"/>
      <x:c r="H77" s="9"/>
    </x:row>
    <x:row r="78">
      <x:c r="A78" s="9"/>
      <x:c r="B78" s="9"/>
      <x:c r="C78" s="9"/>
      <x:c r="D78" s="9"/>
      <x:c r="E78" s="9"/>
      <x:c r="F78" s="9"/>
      <x:c r="G78" s="9"/>
      <x:c r="H78" s="9"/>
    </x:row>
    <x:row r="79">
      <x:c r="A79" s="9"/>
      <x:c r="B79" s="9"/>
      <x:c r="C79" s="9"/>
      <x:c r="D79" s="9"/>
      <x:c r="E79" s="9"/>
      <x:c r="F79" s="9"/>
      <x:c r="G79" s="9"/>
      <x:c r="H79" s="9"/>
    </x:row>
    <x:row r="80">
      <x:c r="A80" s="9"/>
      <x:c r="B80" s="9"/>
      <x:c r="C80" s="9"/>
      <x:c r="D80" s="9"/>
      <x:c r="E80" s="9"/>
      <x:c r="F80" s="9"/>
      <x:c r="G80" s="9"/>
      <x:c r="H80" s="9"/>
    </x:row>
  </x:sheetData>
  <x:mergeCells>
    <x:mergeCell ref="A1:H1"/>
    <x:mergeCell ref="A2:H2"/>
    <x:mergeCell ref="A4:H4"/>
    <x:mergeCell ref="A11:H11"/>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5" hidden="0" customWidth="1"/>
    <x:col min="2" max="2" width="22" hidden="0" customWidth="1"/>
    <x:col min="3" max="3" width="20"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7" t="str">
        <x:v>TutorAI Vietnam | Pricing and Gross Margin</x:v>
      </x:c>
      <x:c r="B1" s="7"/>
      <x:c r="C1" s="7"/>
      <x:c r="D1" s="7"/>
      <x:c r="E1" s="7"/>
      <x:c r="F1" s="7"/>
      <x:c r="G1" s="7"/>
      <x:c r="H1" s="7"/>
    </x:row>
    <x:row r="2" ht="28" customHeight="1">
      <x:c r="A2" s="8" t="str">
        <x:v>Hybrid pricing protects the base plan from power-user cost while staying simple for Vietnamese students.</x:v>
      </x:c>
      <x:c r="B2" s="8"/>
      <x:c r="C2" s="8"/>
      <x:c r="D2" s="8"/>
      <x:c r="E2" s="8"/>
      <x:c r="F2" s="8"/>
      <x:c r="G2" s="8"/>
      <x:c r="H2" s="8"/>
    </x:row>
    <x:row r="3">
      <x:c r="A3" s="9"/>
      <x:c r="B3" s="9"/>
      <x:c r="C3" s="9"/>
      <x:c r="D3" s="9"/>
      <x:c r="E3" s="9"/>
      <x:c r="F3" s="9"/>
      <x:c r="G3" s="9"/>
      <x:c r="H3" s="9"/>
    </x:row>
    <x:row r="4" ht="20" customHeight="1">
      <x:c r="A4" s="12" t="str">
        <x:v>1. Base plan and top-up</x:v>
      </x:c>
      <x:c r="B4" s="12"/>
      <x:c r="C4" s="12"/>
      <x:c r="D4" s="12"/>
      <x:c r="E4" s="12"/>
      <x:c r="F4" s="12"/>
      <x:c r="G4" s="12"/>
      <x:c r="H4" s="12"/>
    </x:row>
    <x:row r="5">
      <x:c r="A5" s="19" t="str">
        <x:v>Driver</x:v>
      </x:c>
      <x:c r="B5" s="19" t="str">
        <x:v>Value</x:v>
      </x:c>
      <x:c r="C5" s="19" t="str">
        <x:v>Explanation</x:v>
      </x:c>
      <x:c r="D5" s="9"/>
      <x:c r="E5" s="9"/>
      <x:c r="F5" s="9"/>
      <x:c r="G5" s="9"/>
      <x:c r="H5" s="9"/>
    </x:row>
    <x:row r="6">
      <x:c r="A6" s="20" t="str">
        <x:v>Value metric</x:v>
      </x:c>
      <x:c r="B6" s="32" t="str">
        <x:v>Hybrid: subscription + usage credits</x:v>
      </x:c>
      <x:c r="C6" s="33" t="str">
        <x:v>Subscription funds access to the study workspace; credits cap incremental AI use.</x:v>
      </x:c>
      <x:c r="D6" s="9"/>
      <x:c r="E6" s="9"/>
      <x:c r="F6" s="9"/>
      <x:c r="G6" s="9"/>
      <x:c r="H6" s="9"/>
    </x:row>
    <x:row r="7">
      <x:c r="A7" s="20" t="str">
        <x:v>Included credit requests / month</x:v>
      </x:c>
      <x:c r="B7" s="38" t="n">
        <x:f>'1_Cost_Job'!B13</x:f>
        <x:v>30</x:v>
      </x:c>
      <x:c r="C7" s="33" t="str">
        <x:v>Same attempt count used in Cost/Job</x:v>
      </x:c>
      <x:c r="D7" s="9"/>
      <x:c r="E7" s="9"/>
      <x:c r="F7" s="9"/>
      <x:c r="G7" s="9"/>
      <x:c r="H7" s="9"/>
    </x:row>
    <x:row r="8">
      <x:c r="A8" s="20" t="str">
        <x:v>Base plan / month</x:v>
      </x:c>
      <x:c r="B8" s="47" t="n">
        <x:v>199000</x:v>
      </x:c>
      <x:c r="C8" s="33" t="str">
        <x:v>Inherited Day 24 ARPU assumption</x:v>
      </x:c>
      <x:c r="D8" s="9"/>
      <x:c r="E8" s="9"/>
      <x:c r="F8" s="9"/>
      <x:c r="G8" s="9"/>
      <x:c r="H8" s="9"/>
    </x:row>
    <x:row r="9">
      <x:c r="A9" s="20" t="str">
        <x:v>Expected completed jobs / month</x:v>
      </x:c>
      <x:c r="B9" s="38" t="n">
        <x:f>'1_Cost_Job'!B15</x:f>
        <x:v>24</x:v>
      </x:c>
      <x:c r="C9" s="33" t="str">
        <x:v>Containment-adjusted denominator</x:v>
      </x:c>
      <x:c r="D9" s="9"/>
      <x:c r="E9" s="9"/>
      <x:c r="F9" s="9"/>
      <x:c r="G9" s="9"/>
      <x:c r="H9" s="9"/>
    </x:row>
    <x:row r="10">
      <x:c r="A10" s="20" t="str">
        <x:v>Revenue / expected completed job</x:v>
      </x:c>
      <x:c r="B10" s="48" t="n">
        <x:f>B8/B9</x:f>
        <x:v>8291.666666666666</x:v>
      </x:c>
      <x:c r="C10" s="33" t="str">
        <x:v>Supports price-to-cost analysis</x:v>
      </x:c>
      <x:c r="D10" s="9"/>
      <x:c r="E10" s="9"/>
      <x:c r="F10" s="9"/>
      <x:c r="G10" s="9"/>
      <x:c r="H10" s="9"/>
    </x:row>
    <x:row r="11">
      <x:c r="A11" s="20" t="str">
        <x:v>Cost / completed job</x:v>
      </x:c>
      <x:c r="B11" s="48" t="n">
        <x:f>'1_Cost_Job'!B22</x:f>
        <x:v>2250</x:v>
      </x:c>
      <x:c r="C11" s="33" t="str">
        <x:v>Linked from Cost/Job</x:v>
      </x:c>
      <x:c r="D11" s="9"/>
      <x:c r="E11" s="9"/>
      <x:c r="F11" s="9"/>
      <x:c r="G11" s="9"/>
      <x:c r="H11" s="9"/>
    </x:row>
    <x:row r="12">
      <x:c r="A12" s="20" t="str">
        <x:v>Plan gross margin</x:v>
      </x:c>
      <x:c r="B12" s="49" t="n">
        <x:f>1-'1_Cost_Job'!B21/B8</x:f>
        <x:v>0.728643216080402</x:v>
      </x:c>
      <x:c r="C12" s="33" t="str">
        <x:v>Monthly revenue less monthly direct COGS</x:v>
      </x:c>
      <x:c r="D12" s="9"/>
      <x:c r="E12" s="9"/>
      <x:c r="F12" s="9"/>
      <x:c r="G12" s="9"/>
      <x:c r="H12" s="9"/>
    </x:row>
    <x:row r="13">
      <x:c r="A13" s="20" t="str">
        <x:v>Price / Cost multiple</x:v>
      </x:c>
      <x:c r="B13" s="41" t="n">
        <x:f>B10/B11</x:f>
        <x:v>3.685185185185185</x:v>
      </x:c>
      <x:c r="C13" s="33" t="str">
        <x:v>Target ≥ 3.0×</x:v>
      </x:c>
      <x:c r="D13" s="9"/>
      <x:c r="E13" s="9"/>
      <x:c r="F13" s="9"/>
      <x:c r="G13" s="9"/>
      <x:c r="H13" s="9"/>
    </x:row>
    <x:row r="14">
      <x:c r="A14" s="20" t="str">
        <x:v>Target gross margin</x:v>
      </x:c>
      <x:c r="B14" s="37" t="n">
        <x:v>0.6</x:v>
      </x:c>
      <x:c r="C14" s="33" t="str">
        <x:v>Minimum threshold for this lab</x:v>
      </x:c>
      <x:c r="D14" s="9"/>
      <x:c r="E14" s="9"/>
      <x:c r="F14" s="9"/>
      <x:c r="G14" s="9"/>
      <x:c r="H14" s="9"/>
    </x:row>
    <x:row r="15">
      <x:c r="A15" s="9"/>
      <x:c r="B15" s="9"/>
      <x:c r="C15" s="9"/>
      <x:c r="D15" s="9"/>
      <x:c r="E15" s="9"/>
      <x:c r="F15" s="9"/>
      <x:c r="G15" s="9"/>
      <x:c r="H15" s="9"/>
    </x:row>
    <x:row r="16">
      <x:c r="A16" s="19" t="str">
        <x:v>Top-up pack</x:v>
      </x:c>
      <x:c r="B16" s="19" t="str">
        <x:v>Value</x:v>
      </x:c>
      <x:c r="C16" s="19" t="str">
        <x:v>Explanation</x:v>
      </x:c>
      <x:c r="D16" s="9"/>
      <x:c r="E16" s="9"/>
      <x:c r="F16" s="9"/>
      <x:c r="G16" s="9"/>
      <x:c r="H16" s="9"/>
    </x:row>
    <x:row r="17">
      <x:c r="A17" s="34" t="str">
        <x:v>Top-up price</x:v>
      </x:c>
      <x:c r="B17" s="39" t="n">
        <x:v>69000</x:v>
      </x:c>
      <x:c r="C17" s="33" t="str">
        <x:v>15 further credit requests</x:v>
      </x:c>
      <x:c r="D17" s="9"/>
      <x:c r="E17" s="9"/>
      <x:c r="F17" s="9"/>
      <x:c r="G17" s="9"/>
      <x:c r="H17" s="9"/>
    </x:row>
    <x:row r="18">
      <x:c r="A18" s="34" t="str">
        <x:v>Top-up credit requests</x:v>
      </x:c>
      <x:c r="B18" s="39" t="n">
        <x:v>15</x:v>
      </x:c>
      <x:c r="C18" s="33" t="str">
        <x:v>Usage fence; retry/handoff requests are credited back</x:v>
      </x:c>
      <x:c r="D18" s="9"/>
      <x:c r="E18" s="9"/>
      <x:c r="F18" s="9"/>
      <x:c r="G18" s="9"/>
      <x:c r="H18" s="9"/>
    </x:row>
    <x:row r="19">
      <x:c r="A19" s="34" t="str">
        <x:v>Displayed price / credit</x:v>
      </x:c>
      <x:c r="B19" s="48" t="n">
        <x:f>B17/B18</x:f>
        <x:v>4600</x:v>
      </x:c>
      <x:c r="C19" s="33" t="str">
        <x:v>Simple customer-facing price</x:v>
      </x:c>
      <x:c r="D19" s="9"/>
      <x:c r="E19" s="9"/>
      <x:c r="F19" s="9"/>
      <x:c r="G19" s="9"/>
      <x:c r="H19" s="9"/>
    </x:row>
    <x:row r="20">
      <x:c r="A20" s="34" t="str">
        <x:v>Top-up margin watch</x:v>
      </x:c>
      <x:c r="B20" s="52" t="str">
        <x:v>Monitor</x:v>
      </x:c>
      <x:c r="C20" s="33" t="str">
        <x:v>At current cost allocation, retain this pack only if observed containment protects blended GM.</x:v>
      </x:c>
      <x:c r="D20" s="9"/>
      <x:c r="E20" s="9"/>
      <x:c r="F20" s="9"/>
      <x:c r="G20" s="9"/>
      <x:c r="H20" s="9"/>
    </x:row>
    <x:row r="21">
      <x:c r="A21" s="9"/>
      <x:c r="B21" s="9"/>
      <x:c r="C21" s="9"/>
      <x:c r="D21" s="9"/>
      <x:c r="E21" s="9"/>
      <x:c r="F21" s="9"/>
      <x:c r="G21" s="9"/>
      <x:c r="H21" s="9"/>
    </x:row>
    <x:row r="22" ht="20" customHeight="1">
      <x:c r="A22" s="12" t="str">
        <x:v>2. Breakeven containment and stress test</x:v>
      </x:c>
      <x:c r="B22" s="12"/>
      <x:c r="C22" s="12"/>
      <x:c r="D22" s="12"/>
      <x:c r="E22" s="12"/>
      <x:c r="F22" s="12"/>
      <x:c r="G22" s="12"/>
      <x:c r="H22" s="12"/>
    </x:row>
    <x:row r="23">
      <x:c r="A23" s="19" t="str">
        <x:v>Conservative price allocation / included credit</x:v>
      </x:c>
      <x:c r="B23" s="40" t="n">
        <x:f>B8/B7</x:f>
        <x:v>6633.333333333333</x:v>
      </x:c>
      <x:c r="C23" s="33" t="str">
        <x:v>Base plan ÷ 30 credit requests</x:v>
      </x:c>
      <x:c r="D23" s="9"/>
      <x:c r="E23" s="9"/>
      <x:c r="F23" s="9"/>
      <x:c r="G23" s="9"/>
      <x:c r="H23" s="9"/>
    </x:row>
    <x:row r="24">
      <x:c r="A24" s="19" t="str">
        <x:v>Break-even containment for 60% GM</x:v>
      </x:c>
      <x:c r="B24" s="49" t="n">
        <x:f>'1_Cost_Job'!B21/(B23*(1-B14)*B7)</x:f>
        <x:v>0.678391959798995</x:v>
      </x:c>
      <x:c r="C24" s="33" t="str">
        <x:v>Cost ÷ (price per credit × (1 − target GM) × attempts)</x:v>
      </x:c>
      <x:c r="D24" s="9"/>
      <x:c r="E24" s="9"/>
      <x:c r="F24" s="9"/>
      <x:c r="G24" s="9"/>
      <x:c r="H24" s="9"/>
    </x:row>
    <x:row r="25">
      <x:c r="A25" s="19" t="str">
        <x:v>Current planning containment</x:v>
      </x:c>
      <x:c r="B25" s="49" t="n">
        <x:f>'1_Cost_Job'!B14</x:f>
        <x:v>0.8</x:v>
      </x:c>
      <x:c r="C25" s="33" t="str">
        <x:v>Commercial planning assumption only</x:v>
      </x:c>
      <x:c r="D25" s="9"/>
      <x:c r="E25" s="9"/>
      <x:c r="F25" s="9"/>
      <x:c r="G25" s="9"/>
      <x:c r="H25" s="9"/>
    </x:row>
    <x:row r="26">
      <x:c r="A26" s="19" t="str">
        <x:v>Margin of safety</x:v>
      </x:c>
      <x:c r="B26" s="49" t="n">
        <x:f>B25-B24</x:f>
        <x:v>0.12160804020100502</x:v>
      </x:c>
      <x:c r="C26" s="33" t="str">
        <x:v>Current planning containment less breakeven</x:v>
      </x:c>
      <x:c r="D26" s="9"/>
      <x:c r="E26" s="9"/>
      <x:c r="F26" s="9"/>
      <x:c r="G26" s="9"/>
      <x:c r="H26" s="9"/>
    </x:row>
    <x:row r="27">
      <x:c r="A27" s="9"/>
      <x:c r="B27" s="9"/>
      <x:c r="C27" s="9"/>
      <x:c r="D27" s="9"/>
      <x:c r="E27" s="9"/>
      <x:c r="F27" s="9"/>
      <x:c r="G27" s="9"/>
      <x:c r="H27" s="9"/>
    </x:row>
    <x:row r="28">
      <x:c r="A28" s="19" t="str">
        <x:v>Containment</x:v>
      </x:c>
      <x:c r="B28" s="19" t="str">
        <x:v>Completed jobs</x:v>
      </x:c>
      <x:c r="C28" s="19" t="str">
        <x:v>Cost / completed job</x:v>
      </x:c>
      <x:c r="D28" s="19" t="str">
        <x:v>Conservative price / credit</x:v>
      </x:c>
      <x:c r="E28" s="19" t="str">
        <x:v>Conservative job-level GM</x:v>
      </x:c>
      <x:c r="F28" s="9"/>
      <x:c r="G28" s="9"/>
      <x:c r="H28" s="9"/>
    </x:row>
    <x:row r="29">
      <x:c r="A29" s="53" t="n">
        <x:v>0.5</x:v>
      </x:c>
      <x:c r="B29" s="38" t="n">
        <x:f>'1_Cost_Job'!$B$13*A29</x:f>
        <x:v>15</x:v>
      </x:c>
      <x:c r="C29" s="48" t="n">
        <x:f>'1_Cost_Job'!$B$21/B29</x:f>
        <x:v>3600</x:v>
      </x:c>
      <x:c r="D29" s="48" t="n">
        <x:f>$B$23</x:f>
        <x:v>6633.333333333333</x:v>
      </x:c>
      <x:c r="E29" s="53" t="n">
        <x:f>1-C29/D29</x:f>
        <x:v>0.457286432160804</x:v>
      </x:c>
      <x:c r="F29" s="9"/>
      <x:c r="G29" s="9"/>
      <x:c r="H29" s="9"/>
    </x:row>
    <x:row r="30">
      <x:c r="A30" s="53" t="n">
        <x:v>0.6</x:v>
      </x:c>
      <x:c r="B30" s="34" t="n">
        <x:f>'1_Cost_Job'!$B$13*A30</x:f>
        <x:v>18</x:v>
      </x:c>
      <x:c r="C30" s="48" t="n">
        <x:f>'1_Cost_Job'!$B$21/B30</x:f>
        <x:v>3000</x:v>
      </x:c>
      <x:c r="D30" s="48" t="n">
        <x:f>$B$23</x:f>
        <x:v>6633.333333333333</x:v>
      </x:c>
      <x:c r="E30" s="53" t="n">
        <x:f>1-C30/D30</x:f>
        <x:v>0.5477386934673367</x:v>
      </x:c>
      <x:c r="F30" s="9"/>
      <x:c r="G30" s="9"/>
      <x:c r="H30" s="9"/>
    </x:row>
    <x:row r="31">
      <x:c r="A31" s="53" t="n">
        <x:v>0.7</x:v>
      </x:c>
      <x:c r="B31" s="34" t="n">
        <x:f>'1_Cost_Job'!$B$13*A31</x:f>
        <x:v>21</x:v>
      </x:c>
      <x:c r="C31" s="48" t="n">
        <x:f>'1_Cost_Job'!$B$21/B31</x:f>
        <x:v>2571.4285714285716</x:v>
      </x:c>
      <x:c r="D31" s="48" t="n">
        <x:f>$B$23</x:f>
        <x:v>6633.333333333333</x:v>
      </x:c>
      <x:c r="E31" s="53" t="n">
        <x:f>1-C31/D31</x:f>
        <x:v>0.6123474515434314</x:v>
      </x:c>
      <x:c r="F31" s="9"/>
      <x:c r="G31" s="9"/>
      <x:c r="H31" s="9"/>
    </x:row>
    <x:row r="32">
      <x:c r="A32" s="53" t="n">
        <x:v>0.8</x:v>
      </x:c>
      <x:c r="B32" s="34" t="n">
        <x:f>'1_Cost_Job'!$B$13*A32</x:f>
        <x:v>24</x:v>
      </x:c>
      <x:c r="C32" s="48" t="n">
        <x:f>'1_Cost_Job'!$B$21/B32</x:f>
        <x:v>2250</x:v>
      </x:c>
      <x:c r="D32" s="48" t="n">
        <x:f>$B$23</x:f>
        <x:v>6633.333333333333</x:v>
      </x:c>
      <x:c r="E32" s="53" t="n">
        <x:f>1-C32/D32</x:f>
        <x:v>0.6608040201005025</x:v>
      </x:c>
      <x:c r="F32" s="9"/>
      <x:c r="G32" s="9"/>
      <x:c r="H32" s="9"/>
    </x:row>
    <x:row r="33">
      <x:c r="A33" s="53" t="n">
        <x:v>0.9</x:v>
      </x:c>
      <x:c r="B33" s="34" t="n">
        <x:f>'1_Cost_Job'!$B$13*A33</x:f>
        <x:v>27</x:v>
      </x:c>
      <x:c r="C33" s="48" t="n">
        <x:f>'1_Cost_Job'!$B$21/B33</x:f>
        <x:v>2000</x:v>
      </x:c>
      <x:c r="D33" s="48" t="n">
        <x:f>$B$23</x:f>
        <x:v>6633.333333333333</x:v>
      </x:c>
      <x:c r="E33" s="53" t="n">
        <x:f>1-C33/D33</x:f>
        <x:v>0.6984924623115578</x:v>
      </x:c>
      <x:c r="F33" s="9"/>
      <x:c r="G33" s="9"/>
      <x:c r="H33" s="9"/>
    </x:row>
    <x:row r="34">
      <x:c r="A34" s="9"/>
      <x:c r="B34" s="9"/>
      <x:c r="C34" s="9"/>
      <x:c r="D34" s="9"/>
      <x:c r="E34" s="9"/>
      <x:c r="F34" s="9"/>
      <x:c r="G34" s="9"/>
      <x:c r="H34" s="9"/>
    </x:row>
    <x:row r="35">
      <x:c r="A35" s="9"/>
      <x:c r="B35" s="9"/>
      <x:c r="C35" s="9"/>
      <x:c r="D35" s="9"/>
      <x:c r="E35" s="9"/>
      <x:c r="F35" s="9"/>
      <x:c r="G35" s="9"/>
      <x:c r="H35" s="9"/>
    </x:row>
    <x:row r="36">
      <x:c r="A36" s="43" t="str">
        <x:v>Interpretation</x:v>
      </x:c>
      <x:c r="B36" s="33" t="str">
        <x:v>Plan GM is 72.9% on monthly subscription revenue (199,000 − 54,000) ÷ 199,000. The conservative stress table allocates price per included credit and cost per completed job, so it exposes containment risk rather than hiding it.</x:v>
      </x:c>
      <x:c r="C36" s="33" t="str"/>
      <x:c r="D36" s="33" t="str"/>
      <x:c r="E36" s="33" t="str"/>
      <x:c r="F36" s="9"/>
      <x:c r="G36" s="9"/>
      <x:c r="H36" s="9"/>
    </x:row>
    <x:row r="37">
      <x:c r="A37" s="43" t="str">
        <x:v>Pricing claim</x:v>
      </x:c>
      <x:c r="B37" s="33" t="str">
        <x:v>TutorAI does not sell “AI answers.” It sells a bounded study workspace with sourced answers during the pre-quiz pain moment.</x:v>
      </x:c>
      <x:c r="C37" s="33" t="str"/>
      <x:c r="D37" s="33" t="str"/>
      <x:c r="E37" s="33" t="str"/>
      <x:c r="F37" s="9"/>
      <x:c r="G37" s="9"/>
      <x:c r="H37" s="9"/>
    </x:row>
    <x:row r="38">
      <x:c r="A38" s="43" t="str">
        <x:v>Do not claim</x:v>
      </x:c>
      <x:c r="B38" s="33" t="str">
        <x:v>No outcome-based price, learning-score gain, or completion result is claimed before TutorAI-specific eval and pilot evidence exist.</x:v>
      </x:c>
      <x:c r="C38" s="33" t="str"/>
      <x:c r="D38" s="33" t="str"/>
      <x:c r="E38" s="33" t="str"/>
      <x:c r="F38" s="9"/>
      <x:c r="G38" s="9"/>
      <x:c r="H38" s="9"/>
    </x:row>
    <x:row r="39">
      <x:c r="A39" s="9"/>
      <x:c r="B39" s="9"/>
      <x:c r="C39" s="9"/>
      <x:c r="D39" s="9"/>
      <x:c r="E39" s="9"/>
      <x:c r="F39" s="9"/>
      <x:c r="G39" s="9"/>
      <x:c r="H39" s="9"/>
    </x:row>
    <x:row r="40">
      <x:c r="A40" s="9"/>
      <x:c r="B40" s="9"/>
      <x:c r="C40" s="9"/>
      <x:c r="D40" s="9"/>
      <x:c r="E40" s="9"/>
      <x:c r="F40" s="9"/>
      <x:c r="G40" s="9"/>
      <x:c r="H40" s="9"/>
    </x:row>
    <x:row r="41">
      <x:c r="A41" s="9"/>
      <x:c r="B41" s="9"/>
      <x:c r="C41" s="9"/>
      <x:c r="D41" s="9"/>
      <x:c r="E41" s="9"/>
      <x:c r="F41" s="9"/>
      <x:c r="G41" s="9"/>
      <x:c r="H41" s="9"/>
    </x:row>
    <x:row r="42">
      <x:c r="A42" s="9"/>
      <x:c r="B42" s="9"/>
      <x:c r="C42" s="9"/>
      <x:c r="D42" s="9"/>
      <x:c r="E42" s="9"/>
      <x:c r="F42" s="9"/>
      <x:c r="G42" s="9"/>
      <x:c r="H42" s="9"/>
    </x:row>
    <x:row r="43">
      <x:c r="A43" s="9"/>
      <x:c r="B43" s="9"/>
      <x:c r="C43" s="9"/>
      <x:c r="D43" s="9"/>
      <x:c r="E43" s="9"/>
      <x:c r="F43" s="9"/>
      <x:c r="G43" s="9"/>
      <x:c r="H43" s="9"/>
    </x:row>
    <x:row r="44">
      <x:c r="A44" s="9"/>
      <x:c r="B44" s="9"/>
      <x:c r="C44" s="9"/>
      <x:c r="D44" s="9"/>
      <x:c r="E44" s="9"/>
      <x:c r="F44" s="9"/>
      <x:c r="G44" s="9"/>
      <x:c r="H44" s="9"/>
    </x:row>
    <x:row r="45">
      <x:c r="A45" s="9"/>
      <x:c r="B45" s="9"/>
      <x:c r="C45" s="9"/>
      <x:c r="D45" s="9"/>
      <x:c r="E45" s="9"/>
      <x:c r="F45" s="9"/>
      <x:c r="G45" s="9"/>
      <x:c r="H45" s="9"/>
    </x:row>
    <x:row r="46">
      <x:c r="A46" s="9"/>
      <x:c r="B46" s="9"/>
      <x:c r="C46" s="9"/>
      <x:c r="D46" s="9"/>
      <x:c r="E46" s="9"/>
      <x:c r="F46" s="9"/>
      <x:c r="G46" s="9"/>
      <x:c r="H46" s="9"/>
    </x:row>
    <x:row r="47">
      <x:c r="A47" s="9"/>
      <x:c r="B47" s="9"/>
      <x:c r="C47" s="9"/>
      <x:c r="D47" s="9"/>
      <x:c r="E47" s="9"/>
      <x:c r="F47" s="9"/>
      <x:c r="G47" s="9"/>
      <x:c r="H47" s="9"/>
    </x:row>
    <x:row r="48">
      <x:c r="A48" s="9"/>
      <x:c r="B48" s="9"/>
      <x:c r="C48" s="9"/>
      <x:c r="D48" s="9"/>
      <x:c r="E48" s="9"/>
      <x:c r="F48" s="9"/>
      <x:c r="G48" s="9"/>
      <x:c r="H48" s="9"/>
    </x:row>
    <x:row r="49">
      <x:c r="A49" s="9"/>
      <x:c r="B49" s="9"/>
      <x:c r="C49" s="9"/>
      <x:c r="D49" s="9"/>
      <x:c r="E49" s="9"/>
      <x:c r="F49" s="9"/>
      <x:c r="G49" s="9"/>
      <x:c r="H49" s="9"/>
    </x:row>
    <x:row r="50">
      <x:c r="A50" s="9"/>
      <x:c r="B50" s="9"/>
      <x:c r="C50" s="9"/>
      <x:c r="D50" s="9"/>
      <x:c r="E50" s="9"/>
      <x:c r="F50" s="9"/>
      <x:c r="G50" s="9"/>
      <x:c r="H50" s="9"/>
    </x:row>
    <x:row r="51">
      <x:c r="A51" s="9"/>
      <x:c r="B51" s="9"/>
      <x:c r="C51" s="9"/>
      <x:c r="D51" s="9"/>
      <x:c r="E51" s="9"/>
      <x:c r="F51" s="9"/>
      <x:c r="G51" s="9"/>
      <x:c r="H51" s="9"/>
    </x:row>
    <x:row r="52">
      <x:c r="A52" s="9"/>
      <x:c r="B52" s="9"/>
      <x:c r="C52" s="9"/>
      <x:c r="D52" s="9"/>
      <x:c r="E52" s="9"/>
      <x:c r="F52" s="9"/>
      <x:c r="G52" s="9"/>
      <x:c r="H52" s="9"/>
    </x:row>
    <x:row r="53">
      <x:c r="A53" s="9"/>
      <x:c r="B53" s="9"/>
      <x:c r="C53" s="9"/>
      <x:c r="D53" s="9"/>
      <x:c r="E53" s="9"/>
      <x:c r="F53" s="9"/>
      <x:c r="G53" s="9"/>
      <x:c r="H53" s="9"/>
    </x:row>
    <x:row r="54">
      <x:c r="A54" s="9"/>
      <x:c r="B54" s="9"/>
      <x:c r="C54" s="9"/>
      <x:c r="D54" s="9"/>
      <x:c r="E54" s="9"/>
      <x:c r="F54" s="9"/>
      <x:c r="G54" s="9"/>
      <x:c r="H54" s="9"/>
    </x:row>
    <x:row r="55">
      <x:c r="A55" s="9"/>
      <x:c r="B55" s="9"/>
      <x:c r="C55" s="9"/>
      <x:c r="D55" s="9"/>
      <x:c r="E55" s="9"/>
      <x:c r="F55" s="9"/>
      <x:c r="G55" s="9"/>
      <x:c r="H55" s="9"/>
    </x:row>
    <x:row r="56">
      <x:c r="A56" s="9"/>
      <x:c r="B56" s="9"/>
      <x:c r="C56" s="9"/>
      <x:c r="D56" s="9"/>
      <x:c r="E56" s="9"/>
      <x:c r="F56" s="9"/>
      <x:c r="G56" s="9"/>
      <x:c r="H56" s="9"/>
    </x:row>
    <x:row r="57">
      <x:c r="A57" s="9"/>
      <x:c r="B57" s="9"/>
      <x:c r="C57" s="9"/>
      <x:c r="D57" s="9"/>
      <x:c r="E57" s="9"/>
      <x:c r="F57" s="9"/>
      <x:c r="G57" s="9"/>
      <x:c r="H57" s="9"/>
    </x:row>
    <x:row r="58">
      <x:c r="A58" s="9"/>
      <x:c r="B58" s="9"/>
      <x:c r="C58" s="9"/>
      <x:c r="D58" s="9"/>
      <x:c r="E58" s="9"/>
      <x:c r="F58" s="9"/>
      <x:c r="G58" s="9"/>
      <x:c r="H58" s="9"/>
    </x:row>
    <x:row r="59">
      <x:c r="A59" s="9"/>
      <x:c r="B59" s="9"/>
      <x:c r="C59" s="9"/>
      <x:c r="D59" s="9"/>
      <x:c r="E59" s="9"/>
      <x:c r="F59" s="9"/>
      <x:c r="G59" s="9"/>
      <x:c r="H59" s="9"/>
    </x:row>
    <x:row r="60">
      <x:c r="A60" s="9"/>
      <x:c r="B60" s="9"/>
      <x:c r="C60" s="9"/>
      <x:c r="D60" s="9"/>
      <x:c r="E60" s="9"/>
      <x:c r="F60" s="9"/>
      <x:c r="G60" s="9"/>
      <x:c r="H60" s="9"/>
    </x:row>
    <x:row r="61">
      <x:c r="A61" s="9"/>
      <x:c r="B61" s="9"/>
      <x:c r="C61" s="9"/>
      <x:c r="D61" s="9"/>
      <x:c r="E61" s="9"/>
      <x:c r="F61" s="9"/>
      <x:c r="G61" s="9"/>
      <x:c r="H61" s="9"/>
    </x:row>
    <x:row r="62">
      <x:c r="A62" s="9"/>
      <x:c r="B62" s="9"/>
      <x:c r="C62" s="9"/>
      <x:c r="D62" s="9"/>
      <x:c r="E62" s="9"/>
      <x:c r="F62" s="9"/>
      <x:c r="G62" s="9"/>
      <x:c r="H62" s="9"/>
    </x:row>
    <x:row r="63">
      <x:c r="A63" s="9"/>
      <x:c r="B63" s="9"/>
      <x:c r="C63" s="9"/>
      <x:c r="D63" s="9"/>
      <x:c r="E63" s="9"/>
      <x:c r="F63" s="9"/>
      <x:c r="G63" s="9"/>
      <x:c r="H63" s="9"/>
    </x:row>
    <x:row r="64">
      <x:c r="A64" s="9"/>
      <x:c r="B64" s="9"/>
      <x:c r="C64" s="9"/>
      <x:c r="D64" s="9"/>
      <x:c r="E64" s="9"/>
      <x:c r="F64" s="9"/>
      <x:c r="G64" s="9"/>
      <x:c r="H64" s="9"/>
    </x:row>
    <x:row r="65">
      <x:c r="A65" s="9"/>
      <x:c r="B65" s="9"/>
      <x:c r="C65" s="9"/>
      <x:c r="D65" s="9"/>
      <x:c r="E65" s="9"/>
      <x:c r="F65" s="9"/>
      <x:c r="G65" s="9"/>
      <x:c r="H65" s="9"/>
    </x:row>
    <x:row r="66">
      <x:c r="A66" s="9"/>
      <x:c r="B66" s="9"/>
      <x:c r="C66" s="9"/>
      <x:c r="D66" s="9"/>
      <x:c r="E66" s="9"/>
      <x:c r="F66" s="9"/>
      <x:c r="G66" s="9"/>
      <x:c r="H66" s="9"/>
    </x:row>
    <x:row r="67">
      <x:c r="A67" s="9"/>
      <x:c r="B67" s="9"/>
      <x:c r="C67" s="9"/>
      <x:c r="D67" s="9"/>
      <x:c r="E67" s="9"/>
      <x:c r="F67" s="9"/>
      <x:c r="G67" s="9"/>
      <x:c r="H67" s="9"/>
    </x:row>
    <x:row r="68">
      <x:c r="A68" s="9"/>
      <x:c r="B68" s="9"/>
      <x:c r="C68" s="9"/>
      <x:c r="D68" s="9"/>
      <x:c r="E68" s="9"/>
      <x:c r="F68" s="9"/>
      <x:c r="G68" s="9"/>
      <x:c r="H68" s="9"/>
    </x:row>
    <x:row r="69">
      <x:c r="A69" s="9"/>
      <x:c r="B69" s="9"/>
      <x:c r="C69" s="9"/>
      <x:c r="D69" s="9"/>
      <x:c r="E69" s="9"/>
      <x:c r="F69" s="9"/>
      <x:c r="G69" s="9"/>
      <x:c r="H69" s="9"/>
    </x:row>
    <x:row r="70">
      <x:c r="A70" s="9"/>
      <x:c r="B70" s="9"/>
      <x:c r="C70" s="9"/>
      <x:c r="D70" s="9"/>
      <x:c r="E70" s="9"/>
      <x:c r="F70" s="9"/>
      <x:c r="G70" s="9"/>
      <x:c r="H70" s="9"/>
    </x:row>
    <x:row r="71">
      <x:c r="A71" s="9"/>
      <x:c r="B71" s="9"/>
      <x:c r="C71" s="9"/>
      <x:c r="D71" s="9"/>
      <x:c r="E71" s="9"/>
      <x:c r="F71" s="9"/>
      <x:c r="G71" s="9"/>
      <x:c r="H71" s="9"/>
    </x:row>
    <x:row r="72">
      <x:c r="A72" s="9"/>
      <x:c r="B72" s="9"/>
      <x:c r="C72" s="9"/>
      <x:c r="D72" s="9"/>
      <x:c r="E72" s="9"/>
      <x:c r="F72" s="9"/>
      <x:c r="G72" s="9"/>
      <x:c r="H72" s="9"/>
    </x:row>
    <x:row r="73">
      <x:c r="A73" s="9"/>
      <x:c r="B73" s="9"/>
      <x:c r="C73" s="9"/>
      <x:c r="D73" s="9"/>
      <x:c r="E73" s="9"/>
      <x:c r="F73" s="9"/>
      <x:c r="G73" s="9"/>
      <x:c r="H73" s="9"/>
    </x:row>
    <x:row r="74">
      <x:c r="A74" s="9"/>
      <x:c r="B74" s="9"/>
      <x:c r="C74" s="9"/>
      <x:c r="D74" s="9"/>
      <x:c r="E74" s="9"/>
      <x:c r="F74" s="9"/>
      <x:c r="G74" s="9"/>
      <x:c r="H74" s="9"/>
    </x:row>
    <x:row r="75">
      <x:c r="A75" s="9"/>
      <x:c r="B75" s="9"/>
      <x:c r="C75" s="9"/>
      <x:c r="D75" s="9"/>
      <x:c r="E75" s="9"/>
      <x:c r="F75" s="9"/>
      <x:c r="G75" s="9"/>
      <x:c r="H75" s="9"/>
    </x:row>
    <x:row r="76">
      <x:c r="A76" s="9"/>
      <x:c r="B76" s="9"/>
      <x:c r="C76" s="9"/>
      <x:c r="D76" s="9"/>
      <x:c r="E76" s="9"/>
      <x:c r="F76" s="9"/>
      <x:c r="G76" s="9"/>
      <x:c r="H76" s="9"/>
    </x:row>
    <x:row r="77">
      <x:c r="A77" s="9"/>
      <x:c r="B77" s="9"/>
      <x:c r="C77" s="9"/>
      <x:c r="D77" s="9"/>
      <x:c r="E77" s="9"/>
      <x:c r="F77" s="9"/>
      <x:c r="G77" s="9"/>
      <x:c r="H77" s="9"/>
    </x:row>
    <x:row r="78">
      <x:c r="A78" s="9"/>
      <x:c r="B78" s="9"/>
      <x:c r="C78" s="9"/>
      <x:c r="D78" s="9"/>
      <x:c r="E78" s="9"/>
      <x:c r="F78" s="9"/>
      <x:c r="G78" s="9"/>
      <x:c r="H78" s="9"/>
    </x:row>
    <x:row r="79">
      <x:c r="A79" s="9"/>
      <x:c r="B79" s="9"/>
      <x:c r="C79" s="9"/>
      <x:c r="D79" s="9"/>
      <x:c r="E79" s="9"/>
      <x:c r="F79" s="9"/>
      <x:c r="G79" s="9"/>
      <x:c r="H79" s="9"/>
    </x:row>
    <x:row r="80">
      <x:c r="A80" s="9"/>
      <x:c r="B80" s="9"/>
      <x:c r="C80" s="9"/>
      <x:c r="D80" s="9"/>
      <x:c r="E80" s="9"/>
      <x:c r="F80" s="9"/>
      <x:c r="G80" s="9"/>
      <x:c r="H80" s="9"/>
    </x:row>
  </x:sheetData>
  <x:mergeCells>
    <x:mergeCell ref="A1:H1"/>
    <x:mergeCell ref="A2:H2"/>
    <x:mergeCell ref="A4:H4"/>
    <x:mergeCell ref="A22:H22"/>
  </x:mergeCells>
  <x:conditionalFormatting sqref="E29:E33">
    <x:cfRule type="cellIs" dxfId="0" priority="1" operator="lessThan">
      <x:formula>0.6</x:formula>
    </x:cfRule>
    <x:cfRule type="cellIs" dxfId="1" priority="2" operator="greaterThanOrEqual">
      <x:formula>0.6</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1" hidden="0" customWidth="1"/>
    <x:col min="3" max="3" width="25" hidden="0" customWidth="1"/>
    <x:col min="4" max="4" width="42" hidden="0" customWidth="1"/>
    <x:col min="5" max="5" width="36" hidden="0" customWidth="1"/>
    <x:col min="6" max="6" width="18" hidden="0" customWidth="1"/>
    <x:col min="7" max="7" width="18" hidden="0" customWidth="1"/>
    <x:col min="8" max="8" width="18" hidden="0" customWidth="1"/>
  </x:cols>
  <x:sheetData>
    <x:row r="1" ht="28" customHeight="1">
      <x:c r="A1" s="7" t="str">
        <x:v>TutorAI Vietnam | Value Metric and Benchmarks</x:v>
      </x:c>
      <x:c r="B1" s="7"/>
      <x:c r="C1" s="7"/>
      <x:c r="D1" s="7"/>
      <x:c r="E1" s="7"/>
      <x:c r="F1" s="7"/>
      <x:c r="G1" s="7"/>
      <x:c r="H1" s="7"/>
    </x:row>
    <x:row r="2" ht="28" customHeight="1">
      <x:c r="A2" s="8" t="str">
        <x:v>Recommendation: Hybrid pricing because autonomous outcome attribution is not yet proven for TutorAI.</x:v>
      </x:c>
      <x:c r="B2" s="8"/>
      <x:c r="C2" s="8"/>
      <x:c r="D2" s="8"/>
      <x:c r="E2" s="8"/>
      <x:c r="F2" s="8"/>
      <x:c r="G2" s="8"/>
      <x:c r="H2" s="8"/>
    </x:row>
    <x:row r="3">
      <x:c r="A3" s="9"/>
      <x:c r="B3" s="9"/>
      <x:c r="C3" s="9"/>
      <x:c r="D3" s="9"/>
      <x:c r="E3" s="9"/>
      <x:c r="F3" s="9"/>
      <x:c r="G3" s="9"/>
      <x:c r="H3" s="9"/>
    </x:row>
    <x:row r="4" ht="20" customHeight="1">
      <x:c r="A4" s="12" t="str">
        <x:v>1. Attribution × Autonomy assessment</x:v>
      </x:c>
      <x:c r="B4" s="12"/>
      <x:c r="C4" s="12"/>
      <x:c r="D4" s="12"/>
      <x:c r="E4" s="12"/>
      <x:c r="F4" s="12"/>
      <x:c r="G4" s="12"/>
      <x:c r="H4" s="12"/>
    </x:row>
    <x:row r="5">
      <x:c r="A5" s="19" t="str">
        <x:v>Question</x:v>
      </x:c>
      <x:c r="B5" s="19" t="str">
        <x:v>Score (1–5)</x:v>
      </x:c>
      <x:c r="C5" s="19" t="str">
        <x:v>Assessment</x:v>
      </x:c>
      <x:c r="D5" s="19" t="str">
        <x:v>Reason / evidence</x:v>
      </x:c>
      <x:c r="E5" s="9"/>
      <x:c r="F5" s="9"/>
      <x:c r="G5" s="9"/>
      <x:c r="H5" s="9"/>
    </x:row>
    <x:row r="6">
      <x:c r="A6" s="34" t="str">
        <x:v>Can TutorAI attribute learning outcome to itself?</x:v>
      </x:c>
      <x:c r="B6" s="54" t="n">
        <x:v>2</x:v>
      </x:c>
      <x:c r="C6" s="34" t="str">
        <x:v>Low</x:v>
      </x:c>
      <x:c r="D6" s="33" t="str">
        <x:v>No TutorAI-specific A/B, retention, or learning-gain eval exists yet.</x:v>
      </x:c>
      <x:c r="E6" s="9"/>
      <x:c r="F6" s="9"/>
      <x:c r="G6" s="9"/>
      <x:c r="H6" s="9"/>
    </x:row>
    <x:row r="7">
      <x:c r="A7" s="34" t="str">
        <x:v>Can TutorAI verify source grounding?</x:v>
      </x:c>
      <x:c r="B7" s="54" t="n">
        <x:v>3</x:v>
      </x:c>
      <x:c r="C7" s="34" t="str">
        <x:v>Medium</x:v>
      </x:c>
      <x:c r="D7" s="33" t="str">
        <x:v>Product design requires citations; measurement still due in the Day 30 eval.</x:v>
      </x:c>
      <x:c r="E7" s="9"/>
      <x:c r="F7" s="9"/>
      <x:c r="G7" s="9"/>
      <x:c r="H7" s="9"/>
    </x:row>
    <x:row r="8">
      <x:c r="A8" s="34" t="str">
        <x:v>Can it complete a study session without human input?</x:v>
      </x:c>
      <x:c r="B8" s="54" t="n">
        <x:v>3</x:v>
      </x:c>
      <x:c r="C8" s="34" t="str">
        <x:v>Medium</x:v>
      </x:c>
      <x:c r="D8" s="33" t="str">
        <x:v>It answers in-scope questions, but student judgment remains essential.</x:v>
      </x:c>
      <x:c r="E8" s="9"/>
      <x:c r="F8" s="9"/>
      <x:c r="G8" s="9"/>
      <x:c r="H8" s="9"/>
    </x:row>
    <x:row r="9">
      <x:c r="A9" s="34" t="str">
        <x:v>Can it safely handle unsupported questions?</x:v>
      </x:c>
      <x:c r="B9" s="54" t="n">
        <x:v>3</x:v>
      </x:c>
      <x:c r="C9" s="34" t="str">
        <x:v>Medium</x:v>
      </x:c>
      <x:c r="D9" s="33" t="str">
        <x:v>Routing/handoff is required; no measured TutorAI reliability evidence yet.</x:v>
      </x:c>
      <x:c r="E9" s="9"/>
      <x:c r="F9" s="9"/>
      <x:c r="G9" s="9"/>
      <x:c r="H9" s="9"/>
    </x:row>
    <x:row r="10">
      <x:c r="A10" s="34" t="str">
        <x:v>Attribution conclusion</x:v>
      </x:c>
      <x:c r="B10" s="35" t="str">
        <x:v>Low–Medium</x:v>
      </x:c>
      <x:c r="C10" s="34" t="str">
        <x:v>Do not price on outcome</x:v>
      </x:c>
      <x:c r="D10" s="33" t="str">
        <x:v>Do not charge per grade improvement or “exam passed” before causal evidence.</x:v>
      </x:c>
      <x:c r="E10" s="9"/>
      <x:c r="F10" s="9"/>
      <x:c r="G10" s="9"/>
      <x:c r="H10" s="9"/>
    </x:row>
    <x:row r="11">
      <x:c r="A11" s="34" t="str">
        <x:v>Autonomy conclusion</x:v>
      </x:c>
      <x:c r="B11" s="35" t="str">
        <x:v>Medium</x:v>
      </x:c>
      <x:c r="C11" s="34" t="str">
        <x:v>Hybrid is safer</x:v>
      </x:c>
      <x:c r="D11" s="33" t="str">
        <x:v>Subscription pays for workspace access; credits track incremental AI cost.</x:v>
      </x:c>
      <x:c r="E11" s="9"/>
      <x:c r="F11" s="9"/>
      <x:c r="G11" s="9"/>
      <x:c r="H11" s="9"/>
    </x:row>
    <x:row r="12">
      <x:c r="A12" s="9"/>
      <x:c r="B12" s="9"/>
      <x:c r="C12" s="9"/>
      <x:c r="D12" s="9"/>
      <x:c r="E12" s="9"/>
      <x:c r="F12" s="9"/>
      <x:c r="G12" s="9"/>
      <x:c r="H12" s="9"/>
    </x:row>
    <x:row r="13" ht="20" customHeight="1">
      <x:c r="A13" s="12" t="str">
        <x:v>2. Decision note</x:v>
      </x:c>
      <x:c r="B13" s="12"/>
      <x:c r="C13" s="12"/>
      <x:c r="D13" s="12"/>
      <x:c r="E13" s="12"/>
      <x:c r="F13" s="12"/>
      <x:c r="G13" s="12"/>
      <x:c r="H13" s="12"/>
    </x:row>
    <x:row r="14">
      <x:c r="A14" s="58" t="str">
        <x:v>TutorAI chọn Hybrid: 199.000 VND/tháng cho workspace học tập và 30 credit requests, cộng 69.000 VND cho 15 credits tiếp theo. Attribution hiện thấp–trung bình và autonomy trung bình: TutorAI có thể tạo câu trả lời có dẫn nguồn nhưng chưa chứng minh được điểm số hoặc kết quả học tập do AI tạo ra. Vì vậy Outcome pricing là không defendable; Hybrid phù hợp hơn Seat thuần vì chi phí inference tăng theo usage và vẫn cho sinh viên một hóa đơn dễ dự đoán.</x:v>
      </x:c>
      <x:c r="B14" s="58"/>
      <x:c r="C14" s="58"/>
      <x:c r="D14" s="58"/>
      <x:c r="E14" s="9"/>
      <x:c r="F14" s="9"/>
      <x:c r="G14" s="9"/>
      <x:c r="H14" s="9"/>
    </x:row>
    <x:row r="15">
      <x:c r="A15" s="58"/>
      <x:c r="B15" s="58"/>
      <x:c r="C15" s="58"/>
      <x:c r="D15" s="58"/>
      <x:c r="E15" s="9"/>
      <x:c r="F15" s="9"/>
      <x:c r="G15" s="9"/>
      <x:c r="H15" s="9"/>
    </x:row>
    <x:row r="16">
      <x:c r="A16" s="58"/>
      <x:c r="B16" s="58"/>
      <x:c r="C16" s="58"/>
      <x:c r="D16" s="58"/>
      <x:c r="E16" s="9"/>
      <x:c r="F16" s="9"/>
      <x:c r="G16" s="9"/>
      <x:c r="H16" s="9"/>
    </x:row>
    <x:row r="17">
      <x:c r="A17" s="58"/>
      <x:c r="B17" s="58"/>
      <x:c r="C17" s="58"/>
      <x:c r="D17" s="58"/>
      <x:c r="E17" s="9"/>
      <x:c r="F17" s="9"/>
      <x:c r="G17" s="9"/>
      <x:c r="H17" s="9"/>
    </x:row>
    <x:row r="18">
      <x:c r="A18" s="9"/>
      <x:c r="B18" s="9"/>
      <x:c r="C18" s="9"/>
      <x:c r="D18" s="9"/>
      <x:c r="E18" s="9"/>
      <x:c r="F18" s="9"/>
      <x:c r="G18" s="9"/>
      <x:c r="H18" s="9"/>
    </x:row>
    <x:row r="19" ht="20" customHeight="1">
      <x:c r="A19" s="12" t="str">
        <x:v>3. Benchmark and source log</x:v>
      </x:c>
      <x:c r="B19" s="12"/>
      <x:c r="C19" s="12"/>
      <x:c r="D19" s="12"/>
      <x:c r="E19" s="12"/>
      <x:c r="F19" s="12"/>
      <x:c r="G19" s="12"/>
      <x:c r="H19" s="12"/>
    </x:row>
    <x:row r="20">
      <x:c r="A20" s="19" t="str">
        <x:v>Source / product</x:v>
      </x:c>
      <x:c r="B20" s="19" t="str">
        <x:v>Packaging / metric</x:v>
      </x:c>
      <x:c r="C20" s="19" t="str">
        <x:v>Published price or input</x:v>
      </x:c>
      <x:c r="D20" s="19" t="str">
        <x:v>Why it matters</x:v>
      </x:c>
      <x:c r="E20" s="19" t="str">
        <x:v>URL</x:v>
      </x:c>
      <x:c r="F20" s="19" t="str">
        <x:v>Checked</x:v>
      </x:c>
      <x:c r="G20" s="9"/>
      <x:c r="H20" s="9"/>
    </x:row>
    <x:row r="21" ht="42" customHeight="1">
      <x:c r="A21" s="62" t="str">
        <x:v>Quizlet Plus</x:v>
      </x:c>
      <x:c r="B21" s="62" t="str">
        <x:v>Subscription with monthly usage limits</x:v>
      </x:c>
      <x:c r="C21" s="62" t="str">
        <x:v>$2.99/month billed annually (US list page)</x:v>
      </x:c>
      <x:c r="D21" s="62" t="str">
        <x:v>Confirms education software often combines subscription with usage limits; not used as a Vietnam price anchor.</x:v>
      </x:c>
      <x:c r="E21" s="63" t="str">
        <x:v>https://quizlet.com/upgrade?source=signup</x:v>
      </x:c>
      <x:c r="F21" s="62" t="str">
        <x:v>2026-08-27</x:v>
      </x:c>
      <x:c r="G21" s="9"/>
      <x:c r="H21" s="9"/>
    </x:row>
    <x:row r="22" ht="42" customHeight="1">
      <x:c r="A22" s="62" t="str">
        <x:v>StudyFetch Groups</x:v>
      </x:c>
      <x:c r="B22" s="62" t="str">
        <x:v>Per-seat institutional plan; centralized billing</x:v>
      </x:c>
      <x:c r="C22" s="62" t="str">
        <x:v>Contact / bulk plan; no public list price shown</x:v>
      </x:c>
      <x:c r="D22" s="62" t="str">
        <x:v>Shows a separate B2B institutional motion, deliberately excluded from TutorAI’s first 90-day PLG plan.</x:v>
      </x:c>
      <x:c r="E22" s="63" t="str">
        <x:v>https://www.studyfetch.com/groups</x:v>
      </x:c>
      <x:c r="F22" s="62" t="str">
        <x:v>2026-08-27</x:v>
      </x:c>
      <x:c r="G22" s="9"/>
      <x:c r="H22" s="9"/>
    </x:row>
    <x:row r="23" ht="42" customHeight="1">
      <x:c r="A23" s="62" t="str">
        <x:v>OpenAI API Models</x:v>
      </x:c>
      <x:c r="B23" s="62" t="str">
        <x:v>Input and output token pricing</x:v>
      </x:c>
      <x:c r="C23" s="62" t="str">
        <x:v>Use live rate before launch; Day 24 allowance remains an assumption</x:v>
      </x:c>
      <x:c r="D23" s="62" t="str">
        <x:v>Cost input needs an as-of date and must not be treated as a permanent promotional price.</x:v>
      </x:c>
      <x:c r="E23" s="63" t="str">
        <x:v>https://developers.openai.com/api/docs/models</x:v>
      </x:c>
      <x:c r="F23" s="62" t="str">
        <x:v>2026-08-27</x:v>
      </x:c>
      <x:c r="G23" s="9"/>
      <x:c r="H23" s="9"/>
    </x:row>
    <x:row r="24">
      <x:c r="A24" s="9"/>
      <x:c r="B24" s="9"/>
      <x:c r="C24" s="9"/>
      <x:c r="D24" s="9"/>
      <x:c r="E24" s="9"/>
      <x:c r="F24" s="9"/>
      <x:c r="G24" s="9"/>
      <x:c r="H24" s="9"/>
    </x:row>
    <x:row r="25" ht="20" customHeight="1">
      <x:c r="A25" s="12" t="str">
        <x:v>4. Guardrails</x:v>
      </x:c>
      <x:c r="B25" s="12"/>
      <x:c r="C25" s="12"/>
      <x:c r="D25" s="12"/>
      <x:c r="E25" s="12"/>
      <x:c r="F25" s="12"/>
      <x:c r="G25" s="12"/>
      <x:c r="H25" s="12"/>
    </x:row>
    <x:row r="26">
      <x:c r="A26" s="19" t="str">
        <x:v>Guardrail</x:v>
      </x:c>
      <x:c r="B26" s="19" t="str">
        <x:v>Status</x:v>
      </x:c>
      <x:c r="C26" s="19" t="str">
        <x:v>Owner</x:v>
      </x:c>
      <x:c r="D26" s="19" t="str">
        <x:v>Deadline</x:v>
      </x:c>
      <x:c r="E26" s="9"/>
      <x:c r="F26" s="9"/>
      <x:c r="G26" s="9"/>
      <x:c r="H26" s="9"/>
    </x:row>
    <x:row r="27">
      <x:c r="A27" s="34" t="str">
        <x:v>No outcome pricing until attribution is measured</x:v>
      </x:c>
      <x:c r="B27" s="32" t="str">
        <x:v>Open</x:v>
      </x:c>
      <x:c r="C27" s="32" t="str">
        <x:v>Hoàng Bảo Huy</x:v>
      </x:c>
      <x:c r="D27" s="34" t="str">
        <x:v>After Day 60 pilot readout</x:v>
      </x:c>
      <x:c r="E27" s="9"/>
      <x:c r="F27" s="9"/>
      <x:c r="G27" s="9"/>
      <x:c r="H27" s="9"/>
    </x:row>
    <x:row r="28">
      <x:c r="A28" s="34" t="str">
        <x:v>Refresh API price and recompute Cost/Job</x:v>
      </x:c>
      <x:c r="B28" s="32" t="str">
        <x:v>Open</x:v>
      </x:c>
      <x:c r="C28" s="32" t="str">
        <x:v>Hoàng Bảo Huy</x:v>
      </x:c>
      <x:c r="D28" s="34" t="str">
        <x:v>Before every launch/pricing decision</x:v>
      </x:c>
      <x:c r="E28" s="9"/>
      <x:c r="F28" s="9"/>
      <x:c r="G28" s="9"/>
      <x:c r="H28" s="9"/>
    </x:row>
    <x:row r="29">
      <x:c r="A29" s="34" t="str">
        <x:v>Credit retry and unsupported-answer handoffs back to student</x:v>
      </x:c>
      <x:c r="B29" s="32" t="str">
        <x:v>Required</x:v>
      </x:c>
      <x:c r="C29" s="32" t="str">
        <x:v>Hoàng Bảo Huy</x:v>
      </x:c>
      <x:c r="D29" s="34" t="str">
        <x:v>Before public beta</x:v>
      </x:c>
      <x:c r="E29" s="9"/>
      <x:c r="F29" s="9"/>
      <x:c r="G29" s="9"/>
      <x:c r="H29" s="9"/>
    </x:row>
    <x:row r="30">
      <x:c r="A30" s="9"/>
      <x:c r="B30" s="9"/>
      <x:c r="C30" s="9"/>
      <x:c r="D30" s="9"/>
      <x:c r="E30" s="9"/>
      <x:c r="F30" s="9"/>
      <x:c r="G30" s="9"/>
      <x:c r="H30" s="9"/>
    </x:row>
    <x:row r="31">
      <x:c r="A31" s="9"/>
      <x:c r="B31" s="9"/>
      <x:c r="C31" s="9"/>
      <x:c r="D31" s="9"/>
      <x:c r="E31" s="9"/>
      <x:c r="F31" s="9"/>
      <x:c r="G31" s="9"/>
      <x:c r="H31" s="9"/>
    </x:row>
    <x:row r="32">
      <x:c r="A32" s="9"/>
      <x:c r="B32" s="9"/>
      <x:c r="C32" s="9"/>
      <x:c r="D32" s="9"/>
      <x:c r="E32" s="9"/>
      <x:c r="F32" s="9"/>
      <x:c r="G32" s="9"/>
      <x:c r="H32" s="9"/>
    </x:row>
    <x:row r="33">
      <x:c r="A33" s="9"/>
      <x:c r="B33" s="9"/>
      <x:c r="C33" s="9"/>
      <x:c r="D33" s="9"/>
      <x:c r="E33" s="9"/>
      <x:c r="F33" s="9"/>
      <x:c r="G33" s="9"/>
      <x:c r="H33" s="9"/>
    </x:row>
    <x:row r="34">
      <x:c r="A34" s="9"/>
      <x:c r="B34" s="9"/>
      <x:c r="C34" s="9"/>
      <x:c r="D34" s="9"/>
      <x:c r="E34" s="9"/>
      <x:c r="F34" s="9"/>
      <x:c r="G34" s="9"/>
      <x:c r="H34" s="9"/>
    </x:row>
    <x:row r="35">
      <x:c r="A35" s="9"/>
      <x:c r="B35" s="9"/>
      <x:c r="C35" s="9"/>
      <x:c r="D35" s="9"/>
      <x:c r="E35" s="9"/>
      <x:c r="F35" s="9"/>
      <x:c r="G35" s="9"/>
      <x:c r="H35" s="9"/>
    </x:row>
    <x:row r="36">
      <x:c r="A36" s="9"/>
      <x:c r="B36" s="9"/>
      <x:c r="C36" s="9"/>
      <x:c r="D36" s="9"/>
      <x:c r="E36" s="9"/>
      <x:c r="F36" s="9"/>
      <x:c r="G36" s="9"/>
      <x:c r="H36" s="9"/>
    </x:row>
    <x:row r="37">
      <x:c r="A37" s="9"/>
      <x:c r="B37" s="9"/>
      <x:c r="C37" s="9"/>
      <x:c r="D37" s="9"/>
      <x:c r="E37" s="9"/>
      <x:c r="F37" s="9"/>
      <x:c r="G37" s="9"/>
      <x:c r="H37" s="9"/>
    </x:row>
    <x:row r="38">
      <x:c r="A38" s="9"/>
      <x:c r="B38" s="9"/>
      <x:c r="C38" s="9"/>
      <x:c r="D38" s="9"/>
      <x:c r="E38" s="9"/>
      <x:c r="F38" s="9"/>
      <x:c r="G38" s="9"/>
      <x:c r="H38" s="9"/>
    </x:row>
    <x:row r="39">
      <x:c r="A39" s="9"/>
      <x:c r="B39" s="9"/>
      <x:c r="C39" s="9"/>
      <x:c r="D39" s="9"/>
      <x:c r="E39" s="9"/>
      <x:c r="F39" s="9"/>
      <x:c r="G39" s="9"/>
      <x:c r="H39" s="9"/>
    </x:row>
    <x:row r="40">
      <x:c r="A40" s="9"/>
      <x:c r="B40" s="9"/>
      <x:c r="C40" s="9"/>
      <x:c r="D40" s="9"/>
      <x:c r="E40" s="9"/>
      <x:c r="F40" s="9"/>
      <x:c r="G40" s="9"/>
      <x:c r="H40" s="9"/>
    </x:row>
    <x:row r="41">
      <x:c r="A41" s="9"/>
      <x:c r="B41" s="9"/>
      <x:c r="C41" s="9"/>
      <x:c r="D41" s="9"/>
      <x:c r="E41" s="9"/>
      <x:c r="F41" s="9"/>
      <x:c r="G41" s="9"/>
      <x:c r="H41" s="9"/>
    </x:row>
    <x:row r="42">
      <x:c r="A42" s="9"/>
      <x:c r="B42" s="9"/>
      <x:c r="C42" s="9"/>
      <x:c r="D42" s="9"/>
      <x:c r="E42" s="9"/>
      <x:c r="F42" s="9"/>
      <x:c r="G42" s="9"/>
      <x:c r="H42" s="9"/>
    </x:row>
    <x:row r="43">
      <x:c r="A43" s="9"/>
      <x:c r="B43" s="9"/>
      <x:c r="C43" s="9"/>
      <x:c r="D43" s="9"/>
      <x:c r="E43" s="9"/>
      <x:c r="F43" s="9"/>
      <x:c r="G43" s="9"/>
      <x:c r="H43" s="9"/>
    </x:row>
    <x:row r="44">
      <x:c r="A44" s="9"/>
      <x:c r="B44" s="9"/>
      <x:c r="C44" s="9"/>
      <x:c r="D44" s="9"/>
      <x:c r="E44" s="9"/>
      <x:c r="F44" s="9"/>
      <x:c r="G44" s="9"/>
      <x:c r="H44" s="9"/>
    </x:row>
    <x:row r="45">
      <x:c r="A45" s="9"/>
      <x:c r="B45" s="9"/>
      <x:c r="C45" s="9"/>
      <x:c r="D45" s="9"/>
      <x:c r="E45" s="9"/>
      <x:c r="F45" s="9"/>
      <x:c r="G45" s="9"/>
      <x:c r="H45" s="9"/>
    </x:row>
    <x:row r="46">
      <x:c r="A46" s="9"/>
      <x:c r="B46" s="9"/>
      <x:c r="C46" s="9"/>
      <x:c r="D46" s="9"/>
      <x:c r="E46" s="9"/>
      <x:c r="F46" s="9"/>
      <x:c r="G46" s="9"/>
      <x:c r="H46" s="9"/>
    </x:row>
    <x:row r="47">
      <x:c r="A47" s="9"/>
      <x:c r="B47" s="9"/>
      <x:c r="C47" s="9"/>
      <x:c r="D47" s="9"/>
      <x:c r="E47" s="9"/>
      <x:c r="F47" s="9"/>
      <x:c r="G47" s="9"/>
      <x:c r="H47" s="9"/>
    </x:row>
    <x:row r="48">
      <x:c r="A48" s="9"/>
      <x:c r="B48" s="9"/>
      <x:c r="C48" s="9"/>
      <x:c r="D48" s="9"/>
      <x:c r="E48" s="9"/>
      <x:c r="F48" s="9"/>
      <x:c r="G48" s="9"/>
      <x:c r="H48" s="9"/>
    </x:row>
    <x:row r="49">
      <x:c r="A49" s="9"/>
      <x:c r="B49" s="9"/>
      <x:c r="C49" s="9"/>
      <x:c r="D49" s="9"/>
      <x:c r="E49" s="9"/>
      <x:c r="F49" s="9"/>
      <x:c r="G49" s="9"/>
      <x:c r="H49" s="9"/>
    </x:row>
    <x:row r="50">
      <x:c r="A50" s="9"/>
      <x:c r="B50" s="9"/>
      <x:c r="C50" s="9"/>
      <x:c r="D50" s="9"/>
      <x:c r="E50" s="9"/>
      <x:c r="F50" s="9"/>
      <x:c r="G50" s="9"/>
      <x:c r="H50" s="9"/>
    </x:row>
    <x:row r="51">
      <x:c r="A51" s="9"/>
      <x:c r="B51" s="9"/>
      <x:c r="C51" s="9"/>
      <x:c r="D51" s="9"/>
      <x:c r="E51" s="9"/>
      <x:c r="F51" s="9"/>
      <x:c r="G51" s="9"/>
      <x:c r="H51" s="9"/>
    </x:row>
    <x:row r="52">
      <x:c r="A52" s="9"/>
      <x:c r="B52" s="9"/>
      <x:c r="C52" s="9"/>
      <x:c r="D52" s="9"/>
      <x:c r="E52" s="9"/>
      <x:c r="F52" s="9"/>
      <x:c r="G52" s="9"/>
      <x:c r="H52" s="9"/>
    </x:row>
    <x:row r="53">
      <x:c r="A53" s="9"/>
      <x:c r="B53" s="9"/>
      <x:c r="C53" s="9"/>
      <x:c r="D53" s="9"/>
      <x:c r="E53" s="9"/>
      <x:c r="F53" s="9"/>
      <x:c r="G53" s="9"/>
      <x:c r="H53" s="9"/>
    </x:row>
    <x:row r="54">
      <x:c r="A54" s="9"/>
      <x:c r="B54" s="9"/>
      <x:c r="C54" s="9"/>
      <x:c r="D54" s="9"/>
      <x:c r="E54" s="9"/>
      <x:c r="F54" s="9"/>
      <x:c r="G54" s="9"/>
      <x:c r="H54" s="9"/>
    </x:row>
    <x:row r="55">
      <x:c r="A55" s="9"/>
      <x:c r="B55" s="9"/>
      <x:c r="C55" s="9"/>
      <x:c r="D55" s="9"/>
      <x:c r="E55" s="9"/>
      <x:c r="F55" s="9"/>
      <x:c r="G55" s="9"/>
      <x:c r="H55" s="9"/>
    </x:row>
    <x:row r="56">
      <x:c r="A56" s="9"/>
      <x:c r="B56" s="9"/>
      <x:c r="C56" s="9"/>
      <x:c r="D56" s="9"/>
      <x:c r="E56" s="9"/>
      <x:c r="F56" s="9"/>
      <x:c r="G56" s="9"/>
      <x:c r="H56" s="9"/>
    </x:row>
    <x:row r="57">
      <x:c r="A57" s="9"/>
      <x:c r="B57" s="9"/>
      <x:c r="C57" s="9"/>
      <x:c r="D57" s="9"/>
      <x:c r="E57" s="9"/>
      <x:c r="F57" s="9"/>
      <x:c r="G57" s="9"/>
      <x:c r="H57" s="9"/>
    </x:row>
    <x:row r="58">
      <x:c r="A58" s="9"/>
      <x:c r="B58" s="9"/>
      <x:c r="C58" s="9"/>
      <x:c r="D58" s="9"/>
      <x:c r="E58" s="9"/>
      <x:c r="F58" s="9"/>
      <x:c r="G58" s="9"/>
      <x:c r="H58" s="9"/>
    </x:row>
    <x:row r="59">
      <x:c r="A59" s="9"/>
      <x:c r="B59" s="9"/>
      <x:c r="C59" s="9"/>
      <x:c r="D59" s="9"/>
      <x:c r="E59" s="9"/>
      <x:c r="F59" s="9"/>
      <x:c r="G59" s="9"/>
      <x:c r="H59" s="9"/>
    </x:row>
    <x:row r="60">
      <x:c r="A60" s="9"/>
      <x:c r="B60" s="9"/>
      <x:c r="C60" s="9"/>
      <x:c r="D60" s="9"/>
      <x:c r="E60" s="9"/>
      <x:c r="F60" s="9"/>
      <x:c r="G60" s="9"/>
      <x:c r="H60" s="9"/>
    </x:row>
    <x:row r="61">
      <x:c r="A61" s="9"/>
      <x:c r="B61" s="9"/>
      <x:c r="C61" s="9"/>
      <x:c r="D61" s="9"/>
      <x:c r="E61" s="9"/>
      <x:c r="F61" s="9"/>
      <x:c r="G61" s="9"/>
      <x:c r="H61" s="9"/>
    </x:row>
    <x:row r="62">
      <x:c r="A62" s="9"/>
      <x:c r="B62" s="9"/>
      <x:c r="C62" s="9"/>
      <x:c r="D62" s="9"/>
      <x:c r="E62" s="9"/>
      <x:c r="F62" s="9"/>
      <x:c r="G62" s="9"/>
      <x:c r="H62" s="9"/>
    </x:row>
    <x:row r="63">
      <x:c r="A63" s="9"/>
      <x:c r="B63" s="9"/>
      <x:c r="C63" s="9"/>
      <x:c r="D63" s="9"/>
      <x:c r="E63" s="9"/>
      <x:c r="F63" s="9"/>
      <x:c r="G63" s="9"/>
      <x:c r="H63" s="9"/>
    </x:row>
    <x:row r="64">
      <x:c r="A64" s="9"/>
      <x:c r="B64" s="9"/>
      <x:c r="C64" s="9"/>
      <x:c r="D64" s="9"/>
      <x:c r="E64" s="9"/>
      <x:c r="F64" s="9"/>
      <x:c r="G64" s="9"/>
      <x:c r="H64" s="9"/>
    </x:row>
    <x:row r="65">
      <x:c r="A65" s="9"/>
      <x:c r="B65" s="9"/>
      <x:c r="C65" s="9"/>
      <x:c r="D65" s="9"/>
      <x:c r="E65" s="9"/>
      <x:c r="F65" s="9"/>
      <x:c r="G65" s="9"/>
      <x:c r="H65" s="9"/>
    </x:row>
    <x:row r="66">
      <x:c r="A66" s="9"/>
      <x:c r="B66" s="9"/>
      <x:c r="C66" s="9"/>
      <x:c r="D66" s="9"/>
      <x:c r="E66" s="9"/>
      <x:c r="F66" s="9"/>
      <x:c r="G66" s="9"/>
      <x:c r="H66" s="9"/>
    </x:row>
    <x:row r="67">
      <x:c r="A67" s="9"/>
      <x:c r="B67" s="9"/>
      <x:c r="C67" s="9"/>
      <x:c r="D67" s="9"/>
      <x:c r="E67" s="9"/>
      <x:c r="F67" s="9"/>
      <x:c r="G67" s="9"/>
      <x:c r="H67" s="9"/>
    </x:row>
    <x:row r="68">
      <x:c r="A68" s="9"/>
      <x:c r="B68" s="9"/>
      <x:c r="C68" s="9"/>
      <x:c r="D68" s="9"/>
      <x:c r="E68" s="9"/>
      <x:c r="F68" s="9"/>
      <x:c r="G68" s="9"/>
      <x:c r="H68" s="9"/>
    </x:row>
    <x:row r="69">
      <x:c r="A69" s="9"/>
      <x:c r="B69" s="9"/>
      <x:c r="C69" s="9"/>
      <x:c r="D69" s="9"/>
      <x:c r="E69" s="9"/>
      <x:c r="F69" s="9"/>
      <x:c r="G69" s="9"/>
      <x:c r="H69" s="9"/>
    </x:row>
    <x:row r="70">
      <x:c r="A70" s="9"/>
      <x:c r="B70" s="9"/>
      <x:c r="C70" s="9"/>
      <x:c r="D70" s="9"/>
      <x:c r="E70" s="9"/>
      <x:c r="F70" s="9"/>
      <x:c r="G70" s="9"/>
      <x:c r="H70" s="9"/>
    </x:row>
    <x:row r="71">
      <x:c r="A71" s="9"/>
      <x:c r="B71" s="9"/>
      <x:c r="C71" s="9"/>
      <x:c r="D71" s="9"/>
      <x:c r="E71" s="9"/>
      <x:c r="F71" s="9"/>
      <x:c r="G71" s="9"/>
      <x:c r="H71" s="9"/>
    </x:row>
    <x:row r="72">
      <x:c r="A72" s="9"/>
      <x:c r="B72" s="9"/>
      <x:c r="C72" s="9"/>
      <x:c r="D72" s="9"/>
      <x:c r="E72" s="9"/>
      <x:c r="F72" s="9"/>
      <x:c r="G72" s="9"/>
      <x:c r="H72" s="9"/>
    </x:row>
    <x:row r="73">
      <x:c r="A73" s="9"/>
      <x:c r="B73" s="9"/>
      <x:c r="C73" s="9"/>
      <x:c r="D73" s="9"/>
      <x:c r="E73" s="9"/>
      <x:c r="F73" s="9"/>
      <x:c r="G73" s="9"/>
      <x:c r="H73" s="9"/>
    </x:row>
    <x:row r="74">
      <x:c r="A74" s="9"/>
      <x:c r="B74" s="9"/>
      <x:c r="C74" s="9"/>
      <x:c r="D74" s="9"/>
      <x:c r="E74" s="9"/>
      <x:c r="F74" s="9"/>
      <x:c r="G74" s="9"/>
      <x:c r="H74" s="9"/>
    </x:row>
    <x:row r="75">
      <x:c r="A75" s="9"/>
      <x:c r="B75" s="9"/>
      <x:c r="C75" s="9"/>
      <x:c r="D75" s="9"/>
      <x:c r="E75" s="9"/>
      <x:c r="F75" s="9"/>
      <x:c r="G75" s="9"/>
      <x:c r="H75" s="9"/>
    </x:row>
    <x:row r="76">
      <x:c r="A76" s="9"/>
      <x:c r="B76" s="9"/>
      <x:c r="C76" s="9"/>
      <x:c r="D76" s="9"/>
      <x:c r="E76" s="9"/>
      <x:c r="F76" s="9"/>
      <x:c r="G76" s="9"/>
      <x:c r="H76" s="9"/>
    </x:row>
    <x:row r="77">
      <x:c r="A77" s="9"/>
      <x:c r="B77" s="9"/>
      <x:c r="C77" s="9"/>
      <x:c r="D77" s="9"/>
      <x:c r="E77" s="9"/>
      <x:c r="F77" s="9"/>
      <x:c r="G77" s="9"/>
      <x:c r="H77" s="9"/>
    </x:row>
    <x:row r="78">
      <x:c r="A78" s="9"/>
      <x:c r="B78" s="9"/>
      <x:c r="C78" s="9"/>
      <x:c r="D78" s="9"/>
      <x:c r="E78" s="9"/>
      <x:c r="F78" s="9"/>
      <x:c r="G78" s="9"/>
      <x:c r="H78" s="9"/>
    </x:row>
    <x:row r="79">
      <x:c r="A79" s="9"/>
      <x:c r="B79" s="9"/>
      <x:c r="C79" s="9"/>
      <x:c r="D79" s="9"/>
      <x:c r="E79" s="9"/>
      <x:c r="F79" s="9"/>
      <x:c r="G79" s="9"/>
      <x:c r="H79" s="9"/>
    </x:row>
    <x:row r="80">
      <x:c r="A80" s="9"/>
      <x:c r="B80" s="9"/>
      <x:c r="C80" s="9"/>
      <x:c r="D80" s="9"/>
      <x:c r="E80" s="9"/>
      <x:c r="F80" s="9"/>
      <x:c r="G80" s="9"/>
      <x:c r="H80" s="9"/>
    </x:row>
  </x:sheetData>
  <x:mergeCells>
    <x:mergeCell ref="A1:H1"/>
    <x:mergeCell ref="A2:H2"/>
    <x:mergeCell ref="A4:H4"/>
    <x:mergeCell ref="A13:H13"/>
    <x:mergeCell ref="A14:D17"/>
    <x:mergeCell ref="A19:H19"/>
    <x:mergeCell ref="A25:H2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34" hidden="0" customWidth="1"/>
    <x:col min="3" max="3" width="38" hidden="0" customWidth="1"/>
    <x:col min="4" max="4" width="32" hidden="0" customWidth="1"/>
    <x:col min="5" max="5" width="18" hidden="0" customWidth="1"/>
    <x:col min="6" max="6" width="18" hidden="0" customWidth="1"/>
    <x:col min="7" max="7" width="18" hidden="0" customWidth="1"/>
    <x:col min="8" max="8" width="18" hidden="0" customWidth="1"/>
  </x:cols>
  <x:sheetData>
    <x:row r="1" ht="28" customHeight="1">
      <x:c r="A1" s="7" t="str">
        <x:v>TutorAI Vietnam | GTM and Channel Affordability</x:v>
      </x:c>
      <x:c r="B1" s="7"/>
      <x:c r="C1" s="7"/>
      <x:c r="D1" s="7"/>
      <x:c r="E1" s="7"/>
      <x:c r="F1" s="7"/>
      <x:c r="G1" s="7"/>
      <x:c r="H1" s="7"/>
    </x:row>
    <x:row r="2" ht="28" customHeight="1">
      <x:c r="A2" s="8" t="str">
        <x:v>Only one channel is selected for the first 90 days: PLG through LMS/web study flow.</x:v>
      </x:c>
      <x:c r="B2" s="8"/>
      <x:c r="C2" s="8"/>
      <x:c r="D2" s="8"/>
      <x:c r="E2" s="8"/>
      <x:c r="F2" s="8"/>
      <x:c r="G2" s="8"/>
      <x:c r="H2" s="8"/>
    </x:row>
    <x:row r="3">
      <x:c r="A3" s="9"/>
      <x:c r="B3" s="9"/>
      <x:c r="C3" s="9"/>
      <x:c r="D3" s="9"/>
      <x:c r="E3" s="9"/>
      <x:c r="F3" s="9"/>
      <x:c r="G3" s="9"/>
      <x:c r="H3" s="9"/>
    </x:row>
    <x:row r="4" ht="20" customHeight="1">
      <x:c r="A4" s="12" t="str">
        <x:v>1. Channel decision</x:v>
      </x:c>
      <x:c r="B4" s="12"/>
      <x:c r="C4" s="12"/>
      <x:c r="D4" s="12"/>
      <x:c r="E4" s="12"/>
      <x:c r="F4" s="12"/>
      <x:c r="G4" s="12"/>
      <x:c r="H4" s="12"/>
    </x:row>
    <x:row r="5">
      <x:c r="A5" s="19" t="str">
        <x:v>Field</x:v>
      </x:c>
      <x:c r="B5" s="19" t="str">
        <x:v>Decision</x:v>
      </x:c>
      <x:c r="C5" s="19" t="str">
        <x:v>Why</x:v>
      </x:c>
      <x:c r="D5" s="9"/>
      <x:c r="E5" s="9"/>
      <x:c r="F5" s="9"/>
      <x:c r="G5" s="9"/>
      <x:c r="H5" s="9"/>
    </x:row>
    <x:row r="6" ht="36" customHeight="1">
      <x:c r="A6" s="34" t="str">
        <x:v>Chosen channel</x:v>
      </x:c>
      <x:c r="B6" s="66" t="str">
        <x:v>PLG via LMS/web</x:v>
      </x:c>
      <x:c r="C6" s="33" t="str">
        <x:v>199,000 VND monthly ARPU is a self-serve price point; a student should activate inside the study flow.</x:v>
      </x:c>
      <x:c r="D6" s="9"/>
      <x:c r="E6" s="9"/>
      <x:c r="F6" s="9"/>
      <x:c r="G6" s="9"/>
      <x:c r="H6" s="9"/>
    </x:row>
    <x:row r="7" ht="36" customHeight="1">
      <x:c r="A7" s="34" t="str">
        <x:v>Pain moment</x:v>
      </x:c>
      <x:c r="B7" s="66" t="str">
        <x:v>21:30, student is reviewing LMS materials/PDF before a quiz deadline.</x:v>
      </x:c>
      <x:c r="C7" s="33" t="str">
        <x:v>The student needs an immediate source-grounded explanation, not a new tab to learn.</x:v>
      </x:c>
      <x:c r="D7" s="9"/>
      <x:c r="E7" s="9"/>
      <x:c r="F7" s="9"/>
      <x:c r="G7" s="9"/>
      <x:c r="H7" s="9"/>
    </x:row>
    <x:row r="8" ht="36" customHeight="1">
      <x:c r="A8" s="34" t="str">
        <x:v>Embedding surface</x:v>
      </x:c>
      <x:c r="B8" s="66" t="str">
        <x:v>LMS deep link / web study workspace next to course document.</x:v>
      </x:c>
      <x:c r="C8" s="33" t="str">
        <x:v>TutorAI opens against the course material and citations, not a generic standalone chatbot.</x:v>
      </x:c>
      <x:c r="D8" s="9"/>
      <x:c r="E8" s="9"/>
      <x:c r="F8" s="9"/>
      <x:c r="G8" s="9"/>
      <x:c r="H8" s="9"/>
    </x:row>
    <x:row r="9" ht="36" customHeight="1">
      <x:c r="A9" s="34" t="str">
        <x:v>Explicitly out of scope</x:v>
      </x:c>
      <x:c r="B9" s="66" t="str">
        <x:v>Sales-led and partner-led for first 90 days.</x:v>
      </x:c>
      <x:c r="C9" s="33" t="str">
        <x:v>No university partner, enterprise contract, or procurement approval is claimed.</x:v>
      </x:c>
      <x:c r="D9" s="9"/>
      <x:c r="E9" s="9"/>
      <x:c r="F9" s="9"/>
      <x:c r="G9" s="9"/>
      <x:c r="H9" s="9"/>
    </x:row>
    <x:row r="10">
      <x:c r="A10" s="9"/>
      <x:c r="B10" s="9"/>
      <x:c r="C10" s="9"/>
      <x:c r="D10" s="9"/>
      <x:c r="E10" s="9"/>
      <x:c r="F10" s="9"/>
      <x:c r="G10" s="9"/>
      <x:c r="H10" s="9"/>
    </x:row>
    <x:row r="11" ht="20" customHeight="1">
      <x:c r="A11" s="12" t="str">
        <x:v>2. CAC affordability</x:v>
      </x:c>
      <x:c r="B11" s="12"/>
      <x:c r="C11" s="12"/>
      <x:c r="D11" s="12"/>
      <x:c r="E11" s="12"/>
      <x:c r="F11" s="12"/>
      <x:c r="G11" s="12"/>
      <x:c r="H11" s="12"/>
    </x:row>
    <x:row r="12">
      <x:c r="A12" s="19" t="str">
        <x:v>Driver</x:v>
      </x:c>
      <x:c r="B12" s="19" t="str">
        <x:v>Value</x:v>
      </x:c>
      <x:c r="C12" s="19" t="str">
        <x:v>Formula / note</x:v>
      </x:c>
      <x:c r="D12" s="9"/>
      <x:c r="E12" s="9"/>
      <x:c r="F12" s="9"/>
      <x:c r="G12" s="9"/>
      <x:c r="H12" s="9"/>
    </x:row>
    <x:row r="13">
      <x:c r="A13" s="34" t="str">
        <x:v>ARPU / month</x:v>
      </x:c>
      <x:c r="B13" s="48" t="n">
        <x:f>'2_Pricing'!B8</x:f>
        <x:v>199000</x:v>
      </x:c>
      <x:c r="C13" s="33" t="str">
        <x:v>Linked to pricing plan</x:v>
      </x:c>
      <x:c r="D13" s="9"/>
      <x:c r="E13" s="9"/>
      <x:c r="F13" s="9"/>
      <x:c r="G13" s="9"/>
      <x:c r="H13" s="9"/>
    </x:row>
    <x:row r="14">
      <x:c r="A14" s="34" t="str">
        <x:v>Plan gross margin</x:v>
      </x:c>
      <x:c r="B14" s="53" t="n">
        <x:f>'2_Pricing'!B12</x:f>
        <x:v>0.728643216080402</x:v>
      </x:c>
      <x:c r="C14" s="33" t="str">
        <x:v>Linked to pricing plan</x:v>
      </x:c>
      <x:c r="D14" s="9"/>
      <x:c r="E14" s="9"/>
      <x:c r="F14" s="9"/>
      <x:c r="G14" s="9"/>
      <x:c r="H14" s="9"/>
    </x:row>
    <x:row r="15">
      <x:c r="A15" s="34" t="str">
        <x:v>Allowed payback months</x:v>
      </x:c>
      <x:c r="B15" s="36" t="n">
        <x:v>12</x:v>
      </x:c>
      <x:c r="C15" s="33" t="str">
        <x:v>SMB/self-serve planning threshold</x:v>
      </x:c>
      <x:c r="D15" s="9"/>
      <x:c r="E15" s="9"/>
      <x:c r="F15" s="9"/>
      <x:c r="G15" s="9"/>
      <x:c r="H15" s="9"/>
    </x:row>
    <x:row r="16">
      <x:c r="A16" s="34" t="str">
        <x:v>CAC budget / customer</x:v>
      </x:c>
      <x:c r="B16" s="40" t="n">
        <x:f>B13*B14*B15</x:f>
        <x:v>1740000</x:v>
      </x:c>
      <x:c r="C16" s="33" t="str">
        <x:v>ARPU × GM × payback months</x:v>
      </x:c>
      <x:c r="D16" s="9"/>
      <x:c r="E16" s="9"/>
      <x:c r="F16" s="9"/>
      <x:c r="G16" s="9"/>
      <x:c r="H16" s="9"/>
    </x:row>
    <x:row r="17">
      <x:c r="A17" s="34" t="str">
        <x:v>Day 24 CAC assumption</x:v>
      </x:c>
      <x:c r="B17" s="40" t="n">
        <x:v>500000</x:v>
      </x:c>
      <x:c r="C17" s="33" t="str">
        <x:v>Paid acquisition and growth effort; labelled assumption</x:v>
      </x:c>
      <x:c r="D17" s="9"/>
      <x:c r="E17" s="9"/>
      <x:c r="F17" s="9"/>
      <x:c r="G17" s="9"/>
      <x:c r="H17" s="9"/>
    </x:row>
    <x:row r="18">
      <x:c r="A18" s="34" t="str">
        <x:v>CAC budget remaining</x:v>
      </x:c>
      <x:c r="B18" s="40" t="n">
        <x:f>B16-B17</x:f>
        <x:v>1240000</x:v>
      </x:c>
      <x:c r="C18" s="33" t="str">
        <x:v>Budget less assumed CAC</x:v>
      </x:c>
      <x:c r="D18" s="9"/>
      <x:c r="E18" s="9"/>
      <x:c r="F18" s="9"/>
      <x:c r="G18" s="9"/>
      <x:c r="H18" s="9"/>
    </x:row>
    <x:row r="19">
      <x:c r="A19" s="34" t="str">
        <x:v>CAC status</x:v>
      </x:c>
      <x:c r="B19" s="35" t="str">
        <x:f>IF(B17&lt;=B16,"WITHIN BUDGET","OVER BUDGET")</x:f>
        <x:v>WITHIN BUDGET</x:v>
      </x:c>
      <x:c r="C19" s="33" t="str">
        <x:v>Assumption must remain inside budget</x:v>
      </x:c>
      <x:c r="D19" s="9"/>
      <x:c r="E19" s="9"/>
      <x:c r="F19" s="9"/>
      <x:c r="G19" s="9"/>
      <x:c r="H19" s="9"/>
    </x:row>
    <x:row r="20">
      <x:c r="A20" s="34" t="str">
        <x:v>90-day paid-test budget</x:v>
      </x:c>
      <x:c r="B20" s="39" t="n">
        <x:v>10000000</x:v>
      </x:c>
      <x:c r="C20" s="33" t="str">
        <x:v>Maximum experiment spend, not a forecast</x:v>
      </x:c>
      <x:c r="D20" s="9"/>
      <x:c r="E20" s="9"/>
      <x:c r="F20" s="9"/>
      <x:c r="G20" s="9"/>
      <x:c r="H20" s="9"/>
    </x:row>
    <x:row r="21">
      <x:c r="A21" s="9"/>
      <x:c r="B21" s="9"/>
      <x:c r="C21" s="9"/>
      <x:c r="D21" s="9"/>
      <x:c r="E21" s="9"/>
      <x:c r="F21" s="9"/>
      <x:c r="G21" s="9"/>
      <x:c r="H21" s="9"/>
    </x:row>
    <x:row r="22" ht="20" customHeight="1">
      <x:c r="A22" s="12" t="str">
        <x:v>3. Sales-led counterfactual (not chosen)</x:v>
      </x:c>
      <x:c r="B22" s="12"/>
      <x:c r="C22" s="12"/>
      <x:c r="D22" s="12"/>
      <x:c r="E22" s="12"/>
      <x:c r="F22" s="12"/>
      <x:c r="G22" s="12"/>
      <x:c r="H22" s="12"/>
    </x:row>
    <x:row r="23">
      <x:c r="A23" s="19" t="str">
        <x:v>Driver</x:v>
      </x:c>
      <x:c r="B23" s="19" t="str">
        <x:v>Value</x:v>
      </x:c>
      <x:c r="C23" s="19" t="str">
        <x:v>Formula / assumption</x:v>
      </x:c>
      <x:c r="D23" s="19" t="str">
        <x:v>Conclusion</x:v>
      </x:c>
      <x:c r="E23" s="9"/>
      <x:c r="F23" s="9"/>
      <x:c r="G23" s="9"/>
      <x:c r="H23" s="9"/>
    </x:row>
    <x:row r="24">
      <x:c r="A24" s="34" t="str">
        <x:v>Annual contract value</x:v>
      </x:c>
      <x:c r="B24" s="48" t="n">
        <x:f>B13*12</x:f>
        <x:v>2388000</x:v>
      </x:c>
      <x:c r="C24" s="33" t="str">
        <x:v>ARPU × 12</x:v>
      </x:c>
      <x:c r="D24" s="33" t="str">
        <x:v>Student self-serve contract value</x:v>
      </x:c>
      <x:c r="E24" s="9"/>
      <x:c r="F24" s="9"/>
      <x:c r="G24" s="9"/>
      <x:c r="H24" s="9"/>
    </x:row>
    <x:row r="25">
      <x:c r="A25" s="34" t="str">
        <x:v>Illustrative loaded AE cost / year</x:v>
      </x:c>
      <x:c r="B25" s="39" t="n">
        <x:v>360000000</x:v>
      </x:c>
      <x:c r="C25" s="33" t="str">
        <x:v>Planning assumption; validate before hiring</x:v>
      </x:c>
      <x:c r="D25" s="33" t="str">
        <x:v>Not an external benchmark</x:v>
      </x:c>
      <x:c r="E25" s="9"/>
      <x:c r="F25" s="9"/>
      <x:c r="G25" s="9"/>
      <x:c r="H25" s="9"/>
    </x:row>
    <x:row r="26">
      <x:c r="A26" s="34" t="str">
        <x:v>Illustrative annual AE quota</x:v>
      </x:c>
      <x:c r="B26" s="39" t="n">
        <x:v>1200000000</x:v>
      </x:c>
      <x:c r="C26" s="33" t="str">
        <x:v>Planning assumption: 3.3× loaded cost</x:v>
      </x:c>
      <x:c r="D26" s="33" t="str">
        <x:v>Not a hiring plan</x:v>
      </x:c>
      <x:c r="E26" s="9"/>
      <x:c r="F26" s="9"/>
      <x:c r="G26" s="9"/>
      <x:c r="H26" s="9"/>
    </x:row>
    <x:row r="27">
      <x:c r="A27" s="34" t="str">
        <x:v>Deals / AE / year</x:v>
      </x:c>
      <x:c r="B27" s="68" t="n">
        <x:f>B26/B24</x:f>
        <x:v>502.51256281407035</x:v>
      </x:c>
      <x:c r="C27" s="33" t="str">
        <x:v>Quota ÷ ACV</x:v>
      </x:c>
      <x:c r="D27" s="33" t="str">
        <x:v>High-touch sales is operationally mismatched to individual students</x:v>
      </x:c>
      <x:c r="E27" s="9"/>
      <x:c r="F27" s="9"/>
      <x:c r="G27" s="9"/>
      <x:c r="H27" s="9"/>
    </x:row>
    <x:row r="28">
      <x:c r="A28" s="34" t="str">
        <x:v>Deals / AE / working day</x:v>
      </x:c>
      <x:c r="B28" s="68" t="n">
        <x:f>B27/250</x:f>
        <x:v>2.0100502512562812</x:v>
      </x:c>
      <x:c r="C28" s="33" t="str">
        <x:v>Deals/year ÷ 250</x:v>
      </x:c>
      <x:c r="D28" s="33" t="str">
        <x:v>Use PLG instead of building a sales team</x:v>
      </x:c>
      <x:c r="E28" s="9"/>
      <x:c r="F28" s="9"/>
      <x:c r="G28" s="9"/>
      <x:c r="H28" s="9"/>
    </x:row>
    <x:row r="29">
      <x:c r="A29" s="34" t="str">
        <x:v>Cost / opportunity proxy</x:v>
      </x:c>
      <x:c r="B29" s="40" t="n">
        <x:f>B25/B27</x:f>
        <x:v>716400</x:v>
      </x:c>
      <x:c r="C29" s="33" t="str">
        <x:v>AE cost ÷ deals/year</x:v>
      </x:c>
      <x:c r="D29" s="33" t="str">
        <x:v>Compare with CAC budget; excludes marketing</x:v>
      </x:c>
      <x:c r="E29" s="9"/>
      <x:c r="F29" s="9"/>
      <x:c r="G29" s="9"/>
      <x:c r="H29" s="9"/>
    </x:row>
    <x:row r="30">
      <x:c r="A30" s="9"/>
      <x:c r="B30" s="9"/>
      <x:c r="C30" s="9"/>
      <x:c r="D30" s="9"/>
      <x:c r="E30" s="9"/>
      <x:c r="F30" s="9"/>
      <x:c r="G30" s="9"/>
      <x:c r="H30" s="9"/>
    </x:row>
    <x:row r="31" ht="20" customHeight="1">
      <x:c r="A31" s="12" t="str">
        <x:v>4. PLG learning funnel</x:v>
      </x:c>
      <x:c r="B31" s="12"/>
      <x:c r="C31" s="12"/>
      <x:c r="D31" s="12"/>
      <x:c r="E31" s="12"/>
      <x:c r="F31" s="12"/>
      <x:c r="G31" s="12"/>
      <x:c r="H31" s="12"/>
    </x:row>
    <x:row r="32">
      <x:c r="A32" s="19" t="str">
        <x:v>Metric</x:v>
      </x:c>
      <x:c r="B32" s="19" t="str">
        <x:v>Month 1 target</x:v>
      </x:c>
      <x:c r="C32" s="19" t="str">
        <x:v>Month 2 target</x:v>
      </x:c>
      <x:c r="D32" s="19" t="str">
        <x:v>Month 3 target</x:v>
      </x:c>
      <x:c r="E32" s="19" t="str">
        <x:v>Definition</x:v>
      </x:c>
      <x:c r="F32" s="9"/>
      <x:c r="G32" s="9"/>
      <x:c r="H32" s="9"/>
    </x:row>
    <x:row r="33">
      <x:c r="A33" s="34" t="str">
        <x:v>Qualified student testers</x:v>
      </x:c>
      <x:c r="B33" s="32" t="n">
        <x:v>30</x:v>
      </x:c>
      <x:c r="C33" s="32" t="n">
        <x:v>60</x:v>
      </x:c>
      <x:c r="D33" s="32" t="n">
        <x:v>100</x:v>
      </x:c>
      <x:c r="E33" s="33" t="str">
        <x:v>Students who start an in-scope LMS/web study session</x:v>
      </x:c>
      <x:c r="F33" s="9"/>
      <x:c r="G33" s="9"/>
      <x:c r="H33" s="9"/>
    </x:row>
    <x:row r="34">
      <x:c r="A34" s="34" t="str">
        <x:v>Activated users</x:v>
      </x:c>
      <x:c r="B34" s="32" t="n">
        <x:v>18</x:v>
      </x:c>
      <x:c r="C34" s="32" t="n">
        <x:v>36</x:v>
      </x:c>
      <x:c r="D34" s="32" t="n">
        <x:v>60</x:v>
      </x:c>
      <x:c r="E34" s="33" t="str">
        <x:v>First source-grounded completed job within 7 days</x:v>
      </x:c>
      <x:c r="F34" s="9"/>
      <x:c r="G34" s="9"/>
      <x:c r="H34" s="9"/>
    </x:row>
    <x:row r="35">
      <x:c r="A35" s="34" t="str">
        <x:v>Paying students</x:v>
      </x:c>
      <x:c r="B35" s="32" t="n">
        <x:v>6</x:v>
      </x:c>
      <x:c r="C35" s="32" t="n">
        <x:v>15</x:v>
      </x:c>
      <x:c r="D35" s="32" t="n">
        <x:v>30</x:v>
      </x:c>
      <x:c r="E35" s="33" t="str">
        <x:v>Active base-plan subscription</x:v>
      </x:c>
      <x:c r="F35" s="9"/>
      <x:c r="G35" s="9"/>
      <x:c r="H35" s="9"/>
    </x:row>
    <x:row r="36">
      <x:c r="A36" s="34" t="str">
        <x:v>Interview / feedback sessions</x:v>
      </x:c>
      <x:c r="B36" s="32" t="n">
        <x:v>10</x:v>
      </x:c>
      <x:c r="C36" s="32" t="n">
        <x:v>12</x:v>
      </x:c>
      <x:c r="D36" s="32" t="n">
        <x:v>15</x:v>
      </x:c>
      <x:c r="E36" s="33" t="str">
        <x:v>Structured qualitative learning, not promotional activity</x:v>
      </x:c>
      <x:c r="F36" s="9"/>
      <x:c r="G36" s="9"/>
      <x:c r="H36" s="9"/>
    </x:row>
    <x:row r="37">
      <x:c r="A37" s="9"/>
      <x:c r="B37" s="9"/>
      <x:c r="C37" s="9"/>
      <x:c r="D37" s="9"/>
      <x:c r="E37" s="9"/>
      <x:c r="F37" s="9"/>
      <x:c r="G37" s="9"/>
      <x:c r="H37" s="9"/>
    </x:row>
    <x:row r="38">
      <x:c r="A38" s="9"/>
      <x:c r="B38" s="9"/>
      <x:c r="C38" s="9"/>
      <x:c r="D38" s="9"/>
      <x:c r="E38" s="9"/>
      <x:c r="F38" s="9"/>
      <x:c r="G38" s="9"/>
      <x:c r="H38" s="9"/>
    </x:row>
    <x:row r="39">
      <x:c r="A39" s="9"/>
      <x:c r="B39" s="9"/>
      <x:c r="C39" s="9"/>
      <x:c r="D39" s="9"/>
      <x:c r="E39" s="9"/>
      <x:c r="F39" s="9"/>
      <x:c r="G39" s="9"/>
      <x:c r="H39" s="9"/>
    </x:row>
    <x:row r="40">
      <x:c r="A40" s="9"/>
      <x:c r="B40" s="9"/>
      <x:c r="C40" s="9"/>
      <x:c r="D40" s="9"/>
      <x:c r="E40" s="9"/>
      <x:c r="F40" s="9"/>
      <x:c r="G40" s="9"/>
      <x:c r="H40" s="9"/>
    </x:row>
    <x:row r="41">
      <x:c r="A41" s="9"/>
      <x:c r="B41" s="9"/>
      <x:c r="C41" s="9"/>
      <x:c r="D41" s="9"/>
      <x:c r="E41" s="9"/>
      <x:c r="F41" s="9"/>
      <x:c r="G41" s="9"/>
      <x:c r="H41" s="9"/>
    </x:row>
    <x:row r="42">
      <x:c r="A42" s="9"/>
      <x:c r="B42" s="9"/>
      <x:c r="C42" s="9"/>
      <x:c r="D42" s="9"/>
      <x:c r="E42" s="9"/>
      <x:c r="F42" s="9"/>
      <x:c r="G42" s="9"/>
      <x:c r="H42" s="9"/>
    </x:row>
    <x:row r="43">
      <x:c r="A43" s="9"/>
      <x:c r="B43" s="9"/>
      <x:c r="C43" s="9"/>
      <x:c r="D43" s="9"/>
      <x:c r="E43" s="9"/>
      <x:c r="F43" s="9"/>
      <x:c r="G43" s="9"/>
      <x:c r="H43" s="9"/>
    </x:row>
    <x:row r="44">
      <x:c r="A44" s="9"/>
      <x:c r="B44" s="9"/>
      <x:c r="C44" s="9"/>
      <x:c r="D44" s="9"/>
      <x:c r="E44" s="9"/>
      <x:c r="F44" s="9"/>
      <x:c r="G44" s="9"/>
      <x:c r="H44" s="9"/>
    </x:row>
    <x:row r="45">
      <x:c r="A45" s="9"/>
      <x:c r="B45" s="9"/>
      <x:c r="C45" s="9"/>
      <x:c r="D45" s="9"/>
      <x:c r="E45" s="9"/>
      <x:c r="F45" s="9"/>
      <x:c r="G45" s="9"/>
      <x:c r="H45" s="9"/>
    </x:row>
    <x:row r="46">
      <x:c r="A46" s="9"/>
      <x:c r="B46" s="9"/>
      <x:c r="C46" s="9"/>
      <x:c r="D46" s="9"/>
      <x:c r="E46" s="9"/>
      <x:c r="F46" s="9"/>
      <x:c r="G46" s="9"/>
      <x:c r="H46" s="9"/>
    </x:row>
    <x:row r="47">
      <x:c r="A47" s="9"/>
      <x:c r="B47" s="9"/>
      <x:c r="C47" s="9"/>
      <x:c r="D47" s="9"/>
      <x:c r="E47" s="9"/>
      <x:c r="F47" s="9"/>
      <x:c r="G47" s="9"/>
      <x:c r="H47" s="9"/>
    </x:row>
    <x:row r="48">
      <x:c r="A48" s="9"/>
      <x:c r="B48" s="9"/>
      <x:c r="C48" s="9"/>
      <x:c r="D48" s="9"/>
      <x:c r="E48" s="9"/>
      <x:c r="F48" s="9"/>
      <x:c r="G48" s="9"/>
      <x:c r="H48" s="9"/>
    </x:row>
    <x:row r="49">
      <x:c r="A49" s="9"/>
      <x:c r="B49" s="9"/>
      <x:c r="C49" s="9"/>
      <x:c r="D49" s="9"/>
      <x:c r="E49" s="9"/>
      <x:c r="F49" s="9"/>
      <x:c r="G49" s="9"/>
      <x:c r="H49" s="9"/>
    </x:row>
    <x:row r="50">
      <x:c r="A50" s="9"/>
      <x:c r="B50" s="9"/>
      <x:c r="C50" s="9"/>
      <x:c r="D50" s="9"/>
      <x:c r="E50" s="9"/>
      <x:c r="F50" s="9"/>
      <x:c r="G50" s="9"/>
      <x:c r="H50" s="9"/>
    </x:row>
    <x:row r="51">
      <x:c r="A51" s="9"/>
      <x:c r="B51" s="9"/>
      <x:c r="C51" s="9"/>
      <x:c r="D51" s="9"/>
      <x:c r="E51" s="9"/>
      <x:c r="F51" s="9"/>
      <x:c r="G51" s="9"/>
      <x:c r="H51" s="9"/>
    </x:row>
    <x:row r="52">
      <x:c r="A52" s="9"/>
      <x:c r="B52" s="9"/>
      <x:c r="C52" s="9"/>
      <x:c r="D52" s="9"/>
      <x:c r="E52" s="9"/>
      <x:c r="F52" s="9"/>
      <x:c r="G52" s="9"/>
      <x:c r="H52" s="9"/>
    </x:row>
    <x:row r="53">
      <x:c r="A53" s="9"/>
      <x:c r="B53" s="9"/>
      <x:c r="C53" s="9"/>
      <x:c r="D53" s="9"/>
      <x:c r="E53" s="9"/>
      <x:c r="F53" s="9"/>
      <x:c r="G53" s="9"/>
      <x:c r="H53" s="9"/>
    </x:row>
    <x:row r="54">
      <x:c r="A54" s="9"/>
      <x:c r="B54" s="9"/>
      <x:c r="C54" s="9"/>
      <x:c r="D54" s="9"/>
      <x:c r="E54" s="9"/>
      <x:c r="F54" s="9"/>
      <x:c r="G54" s="9"/>
      <x:c r="H54" s="9"/>
    </x:row>
    <x:row r="55">
      <x:c r="A55" s="9"/>
      <x:c r="B55" s="9"/>
      <x:c r="C55" s="9"/>
      <x:c r="D55" s="9"/>
      <x:c r="E55" s="9"/>
      <x:c r="F55" s="9"/>
      <x:c r="G55" s="9"/>
      <x:c r="H55" s="9"/>
    </x:row>
    <x:row r="56">
      <x:c r="A56" s="9"/>
      <x:c r="B56" s="9"/>
      <x:c r="C56" s="9"/>
      <x:c r="D56" s="9"/>
      <x:c r="E56" s="9"/>
      <x:c r="F56" s="9"/>
      <x:c r="G56" s="9"/>
      <x:c r="H56" s="9"/>
    </x:row>
    <x:row r="57">
      <x:c r="A57" s="9"/>
      <x:c r="B57" s="9"/>
      <x:c r="C57" s="9"/>
      <x:c r="D57" s="9"/>
      <x:c r="E57" s="9"/>
      <x:c r="F57" s="9"/>
      <x:c r="G57" s="9"/>
      <x:c r="H57" s="9"/>
    </x:row>
    <x:row r="58">
      <x:c r="A58" s="9"/>
      <x:c r="B58" s="9"/>
      <x:c r="C58" s="9"/>
      <x:c r="D58" s="9"/>
      <x:c r="E58" s="9"/>
      <x:c r="F58" s="9"/>
      <x:c r="G58" s="9"/>
      <x:c r="H58" s="9"/>
    </x:row>
    <x:row r="59">
      <x:c r="A59" s="9"/>
      <x:c r="B59" s="9"/>
      <x:c r="C59" s="9"/>
      <x:c r="D59" s="9"/>
      <x:c r="E59" s="9"/>
      <x:c r="F59" s="9"/>
      <x:c r="G59" s="9"/>
      <x:c r="H59" s="9"/>
    </x:row>
    <x:row r="60">
      <x:c r="A60" s="9"/>
      <x:c r="B60" s="9"/>
      <x:c r="C60" s="9"/>
      <x:c r="D60" s="9"/>
      <x:c r="E60" s="9"/>
      <x:c r="F60" s="9"/>
      <x:c r="G60" s="9"/>
      <x:c r="H60" s="9"/>
    </x:row>
    <x:row r="61">
      <x:c r="A61" s="9"/>
      <x:c r="B61" s="9"/>
      <x:c r="C61" s="9"/>
      <x:c r="D61" s="9"/>
      <x:c r="E61" s="9"/>
      <x:c r="F61" s="9"/>
      <x:c r="G61" s="9"/>
      <x:c r="H61" s="9"/>
    </x:row>
    <x:row r="62">
      <x:c r="A62" s="9"/>
      <x:c r="B62" s="9"/>
      <x:c r="C62" s="9"/>
      <x:c r="D62" s="9"/>
      <x:c r="E62" s="9"/>
      <x:c r="F62" s="9"/>
      <x:c r="G62" s="9"/>
      <x:c r="H62" s="9"/>
    </x:row>
    <x:row r="63">
      <x:c r="A63" s="9"/>
      <x:c r="B63" s="9"/>
      <x:c r="C63" s="9"/>
      <x:c r="D63" s="9"/>
      <x:c r="E63" s="9"/>
      <x:c r="F63" s="9"/>
      <x:c r="G63" s="9"/>
      <x:c r="H63" s="9"/>
    </x:row>
    <x:row r="64">
      <x:c r="A64" s="9"/>
      <x:c r="B64" s="9"/>
      <x:c r="C64" s="9"/>
      <x:c r="D64" s="9"/>
      <x:c r="E64" s="9"/>
      <x:c r="F64" s="9"/>
      <x:c r="G64" s="9"/>
      <x:c r="H64" s="9"/>
    </x:row>
    <x:row r="65">
      <x:c r="A65" s="9"/>
      <x:c r="B65" s="9"/>
      <x:c r="C65" s="9"/>
      <x:c r="D65" s="9"/>
      <x:c r="E65" s="9"/>
      <x:c r="F65" s="9"/>
      <x:c r="G65" s="9"/>
      <x:c r="H65" s="9"/>
    </x:row>
    <x:row r="66">
      <x:c r="A66" s="9"/>
      <x:c r="B66" s="9"/>
      <x:c r="C66" s="9"/>
      <x:c r="D66" s="9"/>
      <x:c r="E66" s="9"/>
      <x:c r="F66" s="9"/>
      <x:c r="G66" s="9"/>
      <x:c r="H66" s="9"/>
    </x:row>
    <x:row r="67">
      <x:c r="A67" s="9"/>
      <x:c r="B67" s="9"/>
      <x:c r="C67" s="9"/>
      <x:c r="D67" s="9"/>
      <x:c r="E67" s="9"/>
      <x:c r="F67" s="9"/>
      <x:c r="G67" s="9"/>
      <x:c r="H67" s="9"/>
    </x:row>
    <x:row r="68">
      <x:c r="A68" s="9"/>
      <x:c r="B68" s="9"/>
      <x:c r="C68" s="9"/>
      <x:c r="D68" s="9"/>
      <x:c r="E68" s="9"/>
      <x:c r="F68" s="9"/>
      <x:c r="G68" s="9"/>
      <x:c r="H68" s="9"/>
    </x:row>
    <x:row r="69">
      <x:c r="A69" s="9"/>
      <x:c r="B69" s="9"/>
      <x:c r="C69" s="9"/>
      <x:c r="D69" s="9"/>
      <x:c r="E69" s="9"/>
      <x:c r="F69" s="9"/>
      <x:c r="G69" s="9"/>
      <x:c r="H69" s="9"/>
    </x:row>
    <x:row r="70">
      <x:c r="A70" s="9"/>
      <x:c r="B70" s="9"/>
      <x:c r="C70" s="9"/>
      <x:c r="D70" s="9"/>
      <x:c r="E70" s="9"/>
      <x:c r="F70" s="9"/>
      <x:c r="G70" s="9"/>
      <x:c r="H70" s="9"/>
    </x:row>
    <x:row r="71">
      <x:c r="A71" s="9"/>
      <x:c r="B71" s="9"/>
      <x:c r="C71" s="9"/>
      <x:c r="D71" s="9"/>
      <x:c r="E71" s="9"/>
      <x:c r="F71" s="9"/>
      <x:c r="G71" s="9"/>
      <x:c r="H71" s="9"/>
    </x:row>
    <x:row r="72">
      <x:c r="A72" s="9"/>
      <x:c r="B72" s="9"/>
      <x:c r="C72" s="9"/>
      <x:c r="D72" s="9"/>
      <x:c r="E72" s="9"/>
      <x:c r="F72" s="9"/>
      <x:c r="G72" s="9"/>
      <x:c r="H72" s="9"/>
    </x:row>
    <x:row r="73">
      <x:c r="A73" s="9"/>
      <x:c r="B73" s="9"/>
      <x:c r="C73" s="9"/>
      <x:c r="D73" s="9"/>
      <x:c r="E73" s="9"/>
      <x:c r="F73" s="9"/>
      <x:c r="G73" s="9"/>
      <x:c r="H73" s="9"/>
    </x:row>
    <x:row r="74">
      <x:c r="A74" s="9"/>
      <x:c r="B74" s="9"/>
      <x:c r="C74" s="9"/>
      <x:c r="D74" s="9"/>
      <x:c r="E74" s="9"/>
      <x:c r="F74" s="9"/>
      <x:c r="G74" s="9"/>
      <x:c r="H74" s="9"/>
    </x:row>
    <x:row r="75">
      <x:c r="A75" s="9"/>
      <x:c r="B75" s="9"/>
      <x:c r="C75" s="9"/>
      <x:c r="D75" s="9"/>
      <x:c r="E75" s="9"/>
      <x:c r="F75" s="9"/>
      <x:c r="G75" s="9"/>
      <x:c r="H75" s="9"/>
    </x:row>
    <x:row r="76">
      <x:c r="A76" s="9"/>
      <x:c r="B76" s="9"/>
      <x:c r="C76" s="9"/>
      <x:c r="D76" s="9"/>
      <x:c r="E76" s="9"/>
      <x:c r="F76" s="9"/>
      <x:c r="G76" s="9"/>
      <x:c r="H76" s="9"/>
    </x:row>
    <x:row r="77">
      <x:c r="A77" s="9"/>
      <x:c r="B77" s="9"/>
      <x:c r="C77" s="9"/>
      <x:c r="D77" s="9"/>
      <x:c r="E77" s="9"/>
      <x:c r="F77" s="9"/>
      <x:c r="G77" s="9"/>
      <x:c r="H77" s="9"/>
    </x:row>
    <x:row r="78">
      <x:c r="A78" s="9"/>
      <x:c r="B78" s="9"/>
      <x:c r="C78" s="9"/>
      <x:c r="D78" s="9"/>
      <x:c r="E78" s="9"/>
      <x:c r="F78" s="9"/>
      <x:c r="G78" s="9"/>
      <x:c r="H78" s="9"/>
    </x:row>
    <x:row r="79">
      <x:c r="A79" s="9"/>
      <x:c r="B79" s="9"/>
      <x:c r="C79" s="9"/>
      <x:c r="D79" s="9"/>
      <x:c r="E79" s="9"/>
      <x:c r="F79" s="9"/>
      <x:c r="G79" s="9"/>
      <x:c r="H79" s="9"/>
    </x:row>
    <x:row r="80">
      <x:c r="A80" s="9"/>
      <x:c r="B80" s="9"/>
      <x:c r="C80" s="9"/>
      <x:c r="D80" s="9"/>
      <x:c r="E80" s="9"/>
      <x:c r="F80" s="9"/>
      <x:c r="G80" s="9"/>
      <x:c r="H80" s="9"/>
    </x:row>
  </x:sheetData>
  <x:mergeCells>
    <x:mergeCell ref="A1:H1"/>
    <x:mergeCell ref="A2:H2"/>
    <x:mergeCell ref="A4:H4"/>
    <x:mergeCell ref="A11:H11"/>
    <x:mergeCell ref="A22:H22"/>
    <x:mergeCell ref="A31:H3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30" hidden="0" customWidth="1"/>
    <x:col min="3" max="3" width="35" hidden="0" customWidth="1"/>
    <x:col min="4" max="4" width="21" hidden="0" customWidth="1"/>
    <x:col min="5" max="5" width="19" hidden="0" customWidth="1"/>
    <x:col min="6" max="6" width="23" hidden="0" customWidth="1"/>
    <x:col min="7" max="7" width="18" hidden="0" customWidth="1"/>
    <x:col min="8" max="8" width="18" hidden="0" customWidth="1"/>
  </x:cols>
  <x:sheetData>
    <x:row r="1" ht="28" customHeight="1">
      <x:c r="A1" s="7" t="str">
        <x:v>TutorAI Vietnam | 90-Day Plan and Evidence Pack</x:v>
      </x:c>
      <x:c r="B1" s="7"/>
      <x:c r="C1" s="7"/>
      <x:c r="D1" s="7"/>
      <x:c r="E1" s="7"/>
      <x:c r="F1" s="7"/>
      <x:c r="G1" s="7"/>
      <x:c r="H1" s="7"/>
    </x:row>
    <x:row r="2" ht="28" customHeight="1">
      <x:c r="A2" s="8" t="str">
        <x:v>Procurement-style evidence is intentionally honest: missing assets have an owner, a deadline, and a measurable acceptance condition.</x:v>
      </x:c>
      <x:c r="B2" s="8"/>
      <x:c r="C2" s="8"/>
      <x:c r="D2" s="8"/>
      <x:c r="E2" s="8"/>
      <x:c r="F2" s="8"/>
      <x:c r="G2" s="8"/>
      <x:c r="H2" s="8"/>
    </x:row>
    <x:row r="3">
      <x:c r="A3" s="9"/>
      <x:c r="B3" s="9"/>
      <x:c r="C3" s="9"/>
      <x:c r="D3" s="9"/>
      <x:c r="E3" s="9"/>
      <x:c r="F3" s="9"/>
      <x:c r="G3" s="9"/>
      <x:c r="H3" s="9"/>
    </x:row>
    <x:row r="4" ht="20" customHeight="1">
      <x:c r="A4" s="12" t="str">
        <x:v>1. 90-day operating plan</x:v>
      </x:c>
      <x:c r="B4" s="12"/>
      <x:c r="C4" s="12"/>
      <x:c r="D4" s="12"/>
      <x:c r="E4" s="12"/>
      <x:c r="F4" s="12"/>
      <x:c r="G4" s="12"/>
      <x:c r="H4" s="12"/>
    </x:row>
    <x:row r="5">
      <x:c r="A5" s="19" t="str">
        <x:v>Phase</x:v>
      </x:c>
      <x:c r="B5" s="19" t="str">
        <x:v>Objective</x:v>
      </x:c>
      <x:c r="C5" s="19" t="str">
        <x:v>Concrete actions</x:v>
      </x:c>
      <x:c r="D5" s="19" t="str">
        <x:v>Owner</x:v>
      </x:c>
      <x:c r="E5" s="19" t="str">
        <x:v>KPI / target</x:v>
      </x:c>
      <x:c r="F5" s="19" t="str">
        <x:v>Decision gate</x:v>
      </x:c>
      <x:c r="G5" s="9"/>
      <x:c r="H5" s="9"/>
    </x:row>
    <x:row r="6" ht="56" customHeight="1">
      <x:c r="A6" s="62" t="str">
        <x:v>Month 1 | Learn</x:v>
      </x:c>
      <x:c r="B6" s="62" t="str">
        <x:v>Understand the pre-quiz workflow</x:v>
      </x:c>
      <x:c r="C6" s="62" t="str">
        <x:v>Recruit 30 testers; run 10 interviews; instrument citation-open, completion and retry events.</x:v>
      </x:c>
      <x:c r="D6" s="66" t="str">
        <x:v>Hoàng Bảo Huy</x:v>
      </x:c>
      <x:c r="E6" s="66" t="str">
        <x:v>≥18 activated users; 100 eval sessions prepared</x:v>
      </x:c>
      <x:c r="F6" s="62" t="str">
        <x:v>Do not scale if pain moment or job definition is unclear.</x:v>
      </x:c>
      <x:c r="G6" s="9"/>
      <x:c r="H6" s="9"/>
    </x:row>
    <x:row r="7" ht="56" customHeight="1">
      <x:c r="A7" s="62" t="str">
        <x:v>Month 2 | Improve</x:v>
      </x:c>
      <x:c r="B7" s="62" t="str">
        <x:v>Increase activation in the selected PLG flow</x:v>
      </x:c>
      <x:c r="C7" s="62" t="str">
        <x:v>Fix the highest-frequency failure slice; test LMS/web deep link; run 12 feedback sessions.</x:v>
      </x:c>
      <x:c r="D7" s="66" t="str">
        <x:v>Hoàng Bảo Huy</x:v>
      </x:c>
      <x:c r="E7" s="66" t="str">
        <x:v>≥36 activated users; containment observed and segmented</x:v>
      </x:c>
      <x:c r="F7" s="62" t="str">
        <x:v>Continue only if measured containment clears 67.8% gate.</x:v>
      </x:c>
      <x:c r="G7" s="9"/>
      <x:c r="H7" s="9"/>
    </x:row>
    <x:row r="8" ht="56" customHeight="1">
      <x:c r="A8" s="62" t="str">
        <x:v>Month 3 | Validate</x:v>
      </x:c>
      <x:c r="B8" s="62" t="str">
        <x:v>Test repeat use and willingness to pay</x:v>
      </x:c>
      <x:c r="C8" s="62" t="str">
        <x:v>Reach 100 testers; offer base plan; publish pilot readout; review pricing and top-up usage.</x:v>
      </x:c>
      <x:c r="D8" s="66" t="str">
        <x:v>Hoàng Bảo Huy</x:v>
      </x:c>
      <x:c r="E8" s="66" t="str">
        <x:v>≥30 paying students; 4-week pilot report complete</x:v>
      </x:c>
      <x:c r="F8" s="62" t="str">
        <x:v>Hold price changes until measured COGS and evidence are reviewed.</x:v>
      </x:c>
      <x:c r="G8" s="9"/>
      <x:c r="H8" s="9"/>
    </x:row>
    <x:row r="9">
      <x:c r="A9" s="9"/>
      <x:c r="B9" s="9"/>
      <x:c r="C9" s="9"/>
      <x:c r="D9" s="9"/>
      <x:c r="E9" s="9"/>
      <x:c r="F9" s="9"/>
      <x:c r="G9" s="9"/>
      <x:c r="H9" s="9"/>
    </x:row>
    <x:row r="10" ht="20" customHeight="1">
      <x:c r="A10" s="12" t="str">
        <x:v>2. Evidence Pack</x:v>
      </x:c>
      <x:c r="B10" s="12"/>
      <x:c r="C10" s="12"/>
      <x:c r="D10" s="12"/>
      <x:c r="E10" s="12"/>
      <x:c r="F10" s="12"/>
      <x:c r="G10" s="12"/>
      <x:c r="H10" s="12"/>
    </x:row>
    <x:row r="11">
      <x:c r="A11" s="19" t="str">
        <x:v>Asset</x:v>
      </x:c>
      <x:c r="B11" s="19" t="str">
        <x:v>Current status</x:v>
      </x:c>
      <x:c r="C11" s="19" t="str">
        <x:v>Required content</x:v>
      </x:c>
      <x:c r="D11" s="19" t="str">
        <x:v>Owner</x:v>
      </x:c>
      <x:c r="E11" s="19" t="str">
        <x:v>Deadline</x:v>
      </x:c>
      <x:c r="F11" s="19" t="str">
        <x:v>Acceptance evidence</x:v>
      </x:c>
      <x:c r="G11" s="19" t="str">
        <x:v>Connection to Day 21–24</x:v>
      </x:c>
      <x:c r="H11" s="9"/>
    </x:row>
    <x:row r="12" ht="68" customHeight="1">
      <x:c r="A12" s="62" t="str">
        <x:v>Eval Results</x:v>
      </x:c>
      <x:c r="B12" s="66" t="str">
        <x:v>Not yet available</x:v>
      </x:c>
      <x:c r="C12" s="66" t="str">
        <x:v>100 TutorAI sessions; grounding, routing, schema validity, containment and failure slices.</x:v>
      </x:c>
      <x:c r="D12" s="66" t="str">
        <x:v>Hoàng Bảo Huy</x:v>
      </x:c>
      <x:c r="E12" s="66" t="str">
        <x:v>Day 30</x:v>
      </x:c>
      <x:c r="F12" s="62" t="str">
        <x:v>Versioned dataset, run output, evaluator rubric and observed containment ≥67.8% or documented mitigation.</x:v>
      </x:c>
      <x:c r="G12" s="62" t="str">
        <x:v>Use Day 21 only as evaluation-method reference; do not claim its results.</x:v>
      </x:c>
      <x:c r="H12" s="9"/>
    </x:row>
    <x:row r="13" ht="68" customHeight="1">
      <x:c r="A13" s="62" t="str">
        <x:v>Risk Checklist</x:v>
      </x:c>
      <x:c r="B13" s="66" t="str">
        <x:v>Not yet available</x:v>
      </x:c>
      <x:c r="C13" s="66" t="str">
        <x:v>Written answers for hallucination/grounding, student-data retention and deletion, and service/fallback ownership.</x:v>
      </x:c>
      <x:c r="D13" s="66" t="str">
        <x:v>Hoàng Bảo Huy</x:v>
      </x:c>
      <x:c r="E13" s="66" t="str">
        <x:v>Day 15</x:v>
      </x:c>
      <x:c r="F13" s="62" t="str">
        <x:v>Published checklist with controls, owner, review cadence and residual-risk statement.</x:v>
      </x:c>
      <x:c r="G13" s="62" t="str">
        <x:v>Create TutorAI-specific checklist; do not reuse unrelated Day 22 clinical-risk evidence.</x:v>
      </x:c>
      <x:c r="H13" s="9"/>
    </x:row>
    <x:row r="14" ht="68" customHeight="1">
      <x:c r="A14" s="62" t="str">
        <x:v>Pilot Report</x:v>
      </x:c>
      <x:c r="B14" s="66" t="str">
        <x:v>Not yet available</x:v>
      </x:c>
      <x:c r="C14" s="66" t="str">
        <x:v>Four-week pilot with 30 students: sessions, completion, citation-open, retry, paid conversion and qualitative quotes.</x:v>
      </x:c>
      <x:c r="D14" s="66" t="str">
        <x:v>Hoàng Bảo Huy</x:v>
      </x:c>
      <x:c r="E14" s="66" t="str">
        <x:v>Day 60</x:v>
      </x:c>
      <x:c r="F14" s="62" t="str">
        <x:v>Signed-off report with data window, definitions, results and limitations.</x:v>
      </x:c>
      <x:c r="G14" s="62" t="str">
        <x:v>Replaces assumptions with attributable TutorAI evidence.</x:v>
      </x:c>
      <x:c r="H14" s="9"/>
    </x:row>
    <x:row r="15">
      <x:c r="A15" s="9"/>
      <x:c r="B15" s="9"/>
      <x:c r="C15" s="9"/>
      <x:c r="D15" s="9"/>
      <x:c r="E15" s="9"/>
      <x:c r="F15" s="9"/>
      <x:c r="G15" s="9"/>
      <x:c r="H15" s="9"/>
    </x:row>
    <x:row r="16" ht="20" customHeight="1">
      <x:c r="A16" s="12" t="str">
        <x:v>3. Evidence and pricing release gates</x:v>
      </x:c>
      <x:c r="B16" s="12"/>
      <x:c r="C16" s="12"/>
      <x:c r="D16" s="12"/>
      <x:c r="E16" s="12"/>
      <x:c r="F16" s="12"/>
      <x:c r="G16" s="12"/>
      <x:c r="H16" s="12"/>
    </x:row>
    <x:row r="17">
      <x:c r="A17" s="19" t="str">
        <x:v>Gate</x:v>
      </x:c>
      <x:c r="B17" s="19" t="str">
        <x:v>Threshold</x:v>
      </x:c>
      <x:c r="C17" s="19" t="str">
        <x:v>Current status</x:v>
      </x:c>
      <x:c r="D17" s="19" t="str">
        <x:v>Owner</x:v>
      </x:c>
      <x:c r="E17" s="19" t="str">
        <x:v>Action if failed</x:v>
      </x:c>
      <x:c r="F17" s="9"/>
      <x:c r="G17" s="9"/>
      <x:c r="H17" s="9"/>
    </x:row>
    <x:row r="18" ht="38" customHeight="1">
      <x:c r="A18" s="62" t="str">
        <x:v>Cost model completeness</x:v>
      </x:c>
      <x:c r="B18" s="62" t="str">
        <x:v>Five cost components &gt; 0; API price dated</x:v>
      </x:c>
      <x:c r="C18" s="66" t="str">
        <x:v>Ready with labelled assumptions</x:v>
      </x:c>
      <x:c r="D18" s="66" t="str">
        <x:v>Hoàng Bảo Huy</x:v>
      </x:c>
      <x:c r="E18" s="62" t="str">
        <x:v>Refresh provider price and recompute Cost/Job.</x:v>
      </x:c>
      <x:c r="F18" s="9"/>
      <x:c r="G18" s="9"/>
      <x:c r="H18" s="9"/>
    </x:row>
    <x:row r="19" ht="38" customHeight="1">
      <x:c r="A19" s="62" t="str">
        <x:v>Containment</x:v>
      </x:c>
      <x:c r="B19" s="62" t="str">
        <x:v>≥67.8% observed containment</x:v>
      </x:c>
      <x:c r="C19" s="66" t="str">
        <x:v>Not measured</x:v>
      </x:c>
      <x:c r="D19" s="66" t="str">
        <x:v>Hoàng Bảo Huy</x:v>
      </x:c>
      <x:c r="E19" s="62" t="str">
        <x:v>Reduce quota, improve routing, or pause paid acquisition.</x:v>
      </x:c>
      <x:c r="F19" s="9"/>
      <x:c r="G19" s="9"/>
      <x:c r="H19" s="9"/>
    </x:row>
    <x:row r="20" ht="38" customHeight="1">
      <x:c r="A20" s="62" t="str">
        <x:v>Grounding / safety</x:v>
      </x:c>
      <x:c r="B20" s="62" t="str">
        <x:v>Eval results reviewed before broad launch</x:v>
      </x:c>
      <x:c r="C20" s="66" t="str">
        <x:v>Not measured</x:v>
      </x:c>
      <x:c r="D20" s="66" t="str">
        <x:v>Hoàng Bảo Huy</x:v>
      </x:c>
      <x:c r="E20" s="62" t="str">
        <x:v>Keep beta limited; revise retrieval and fallback.</x:v>
      </x:c>
      <x:c r="F20" s="9"/>
      <x:c r="G20" s="9"/>
      <x:c r="H20" s="9"/>
    </x:row>
    <x:row r="21" ht="38" customHeight="1">
      <x:c r="A21" s="62" t="str">
        <x:v>Pilot economics</x:v>
      </x:c>
      <x:c r="B21" s="62" t="str">
        <x:v>CAC remains within 1.74M VND budget</x:v>
      </x:c>
      <x:c r="C21" s="66" t="str">
        <x:v>Not measured</x:v>
      </x:c>
      <x:c r="D21" s="66" t="str">
        <x:v>Hoàng Bảo Huy</x:v>
      </x:c>
      <x:c r="E21" s="62" t="str">
        <x:v>Stop inefficient paid tests and focus on referral/activation.</x:v>
      </x:c>
      <x:c r="F21" s="9"/>
      <x:c r="G21" s="9"/>
      <x:c r="H21" s="9"/>
    </x:row>
    <x:row r="22">
      <x:c r="A22" s="9"/>
      <x:c r="B22" s="9"/>
      <x:c r="C22" s="9"/>
      <x:c r="D22" s="9"/>
      <x:c r="E22" s="9"/>
      <x:c r="F22" s="9"/>
      <x:c r="G22" s="9"/>
      <x:c r="H22" s="9"/>
    </x:row>
    <x:row r="23">
      <x:c r="A23" s="43" t="str">
        <x:v>Reader test</x:v>
      </x:c>
      <x:c r="B23" s="33" t="str">
        <x:v>A new reader should identify the product, buyer, value metric, Cost/Job, GM, break-even containment, single channel and evidence gaps in under two minutes.</x:v>
      </x:c>
      <x:c r="C23" s="33" t="str"/>
      <x:c r="D23" s="33" t="str"/>
      <x:c r="E23" s="33" t="str"/>
      <x:c r="F23" s="33" t="str"/>
      <x:c r="G23" s="33" t="str"/>
      <x:c r="H23" s="9"/>
    </x:row>
    <x:row r="24">
      <x:c r="A24" s="43" t="str">
        <x:v>No fabricated evidence</x:v>
      </x:c>
      <x:c r="B24" s="33" t="str">
        <x:v>All numerical Day 25 outputs are traceable to workbook inputs. Assumptions are clearly labelled and future evidence has deadlines.</x:v>
      </x:c>
      <x:c r="C24" s="33" t="str"/>
      <x:c r="D24" s="33" t="str"/>
      <x:c r="E24" s="33" t="str"/>
      <x:c r="F24" s="33" t="str"/>
      <x:c r="G24" s="33" t="str"/>
      <x:c r="H24" s="9"/>
    </x:row>
    <x:row r="25">
      <x:c r="A25" s="43" t="str">
        <x:v>Pricing posture</x:v>
      </x:c>
      <x:c r="B25" s="33" t="str">
        <x:v>Pricing is a testable hypothesis; it will be changed if observed containment, COGS or willingness-to-pay invalidate the model.</x:v>
      </x:c>
      <x:c r="C25" s="33" t="str"/>
      <x:c r="D25" s="33" t="str"/>
      <x:c r="E25" s="33" t="str"/>
      <x:c r="F25" s="33" t="str"/>
      <x:c r="G25" s="33" t="str"/>
      <x:c r="H25" s="9"/>
    </x:row>
    <x:row r="26">
      <x:c r="A26" s="9"/>
      <x:c r="B26" s="9"/>
      <x:c r="C26" s="9"/>
      <x:c r="D26" s="9"/>
      <x:c r="E26" s="9"/>
      <x:c r="F26" s="9"/>
      <x:c r="G26" s="9"/>
      <x:c r="H26" s="9"/>
    </x:row>
    <x:row r="27">
      <x:c r="A27" s="9"/>
      <x:c r="B27" s="9"/>
      <x:c r="C27" s="9"/>
      <x:c r="D27" s="9"/>
      <x:c r="E27" s="9"/>
      <x:c r="F27" s="9"/>
      <x:c r="G27" s="9"/>
      <x:c r="H27" s="9"/>
    </x:row>
    <x:row r="28">
      <x:c r="A28" s="9"/>
      <x:c r="B28" s="9"/>
      <x:c r="C28" s="9"/>
      <x:c r="D28" s="9"/>
      <x:c r="E28" s="9"/>
      <x:c r="F28" s="9"/>
      <x:c r="G28" s="9"/>
      <x:c r="H28" s="9"/>
    </x:row>
    <x:row r="29">
      <x:c r="A29" s="9"/>
      <x:c r="B29" s="9"/>
      <x:c r="C29" s="9"/>
      <x:c r="D29" s="9"/>
      <x:c r="E29" s="9"/>
      <x:c r="F29" s="9"/>
      <x:c r="G29" s="9"/>
      <x:c r="H29" s="9"/>
    </x:row>
    <x:row r="30">
      <x:c r="A30" s="9"/>
      <x:c r="B30" s="9"/>
      <x:c r="C30" s="9"/>
      <x:c r="D30" s="9"/>
      <x:c r="E30" s="9"/>
      <x:c r="F30" s="9"/>
      <x:c r="G30" s="9"/>
      <x:c r="H30" s="9"/>
    </x:row>
    <x:row r="31">
      <x:c r="A31" s="9"/>
      <x:c r="B31" s="9"/>
      <x:c r="C31" s="9"/>
      <x:c r="D31" s="9"/>
      <x:c r="E31" s="9"/>
      <x:c r="F31" s="9"/>
      <x:c r="G31" s="9"/>
      <x:c r="H31" s="9"/>
    </x:row>
    <x:row r="32">
      <x:c r="A32" s="9"/>
      <x:c r="B32" s="9"/>
      <x:c r="C32" s="9"/>
      <x:c r="D32" s="9"/>
      <x:c r="E32" s="9"/>
      <x:c r="F32" s="9"/>
      <x:c r="G32" s="9"/>
      <x:c r="H32" s="9"/>
    </x:row>
    <x:row r="33">
      <x:c r="A33" s="9"/>
      <x:c r="B33" s="9"/>
      <x:c r="C33" s="9"/>
      <x:c r="D33" s="9"/>
      <x:c r="E33" s="9"/>
      <x:c r="F33" s="9"/>
      <x:c r="G33" s="9"/>
      <x:c r="H33" s="9"/>
    </x:row>
    <x:row r="34">
      <x:c r="A34" s="9"/>
      <x:c r="B34" s="9"/>
      <x:c r="C34" s="9"/>
      <x:c r="D34" s="9"/>
      <x:c r="E34" s="9"/>
      <x:c r="F34" s="9"/>
      <x:c r="G34" s="9"/>
      <x:c r="H34" s="9"/>
    </x:row>
    <x:row r="35">
      <x:c r="A35" s="9"/>
      <x:c r="B35" s="9"/>
      <x:c r="C35" s="9"/>
      <x:c r="D35" s="9"/>
      <x:c r="E35" s="9"/>
      <x:c r="F35" s="9"/>
      <x:c r="G35" s="9"/>
      <x:c r="H35" s="9"/>
    </x:row>
    <x:row r="36">
      <x:c r="A36" s="9"/>
      <x:c r="B36" s="9"/>
      <x:c r="C36" s="9"/>
      <x:c r="D36" s="9"/>
      <x:c r="E36" s="9"/>
      <x:c r="F36" s="9"/>
      <x:c r="G36" s="9"/>
      <x:c r="H36" s="9"/>
    </x:row>
    <x:row r="37">
      <x:c r="A37" s="9"/>
      <x:c r="B37" s="9"/>
      <x:c r="C37" s="9"/>
      <x:c r="D37" s="9"/>
      <x:c r="E37" s="9"/>
      <x:c r="F37" s="9"/>
      <x:c r="G37" s="9"/>
      <x:c r="H37" s="9"/>
    </x:row>
    <x:row r="38">
      <x:c r="A38" s="9"/>
      <x:c r="B38" s="9"/>
      <x:c r="C38" s="9"/>
      <x:c r="D38" s="9"/>
      <x:c r="E38" s="9"/>
      <x:c r="F38" s="9"/>
      <x:c r="G38" s="9"/>
      <x:c r="H38" s="9"/>
    </x:row>
    <x:row r="39">
      <x:c r="A39" s="9"/>
      <x:c r="B39" s="9"/>
      <x:c r="C39" s="9"/>
      <x:c r="D39" s="9"/>
      <x:c r="E39" s="9"/>
      <x:c r="F39" s="9"/>
      <x:c r="G39" s="9"/>
      <x:c r="H39" s="9"/>
    </x:row>
    <x:row r="40">
      <x:c r="A40" s="9"/>
      <x:c r="B40" s="9"/>
      <x:c r="C40" s="9"/>
      <x:c r="D40" s="9"/>
      <x:c r="E40" s="9"/>
      <x:c r="F40" s="9"/>
      <x:c r="G40" s="9"/>
      <x:c r="H40" s="9"/>
    </x:row>
    <x:row r="41">
      <x:c r="A41" s="9"/>
      <x:c r="B41" s="9"/>
      <x:c r="C41" s="9"/>
      <x:c r="D41" s="9"/>
      <x:c r="E41" s="9"/>
      <x:c r="F41" s="9"/>
      <x:c r="G41" s="9"/>
      <x:c r="H41" s="9"/>
    </x:row>
    <x:row r="42">
      <x:c r="A42" s="9"/>
      <x:c r="B42" s="9"/>
      <x:c r="C42" s="9"/>
      <x:c r="D42" s="9"/>
      <x:c r="E42" s="9"/>
      <x:c r="F42" s="9"/>
      <x:c r="G42" s="9"/>
      <x:c r="H42" s="9"/>
    </x:row>
    <x:row r="43">
      <x:c r="A43" s="9"/>
      <x:c r="B43" s="9"/>
      <x:c r="C43" s="9"/>
      <x:c r="D43" s="9"/>
      <x:c r="E43" s="9"/>
      <x:c r="F43" s="9"/>
      <x:c r="G43" s="9"/>
      <x:c r="H43" s="9"/>
    </x:row>
    <x:row r="44">
      <x:c r="A44" s="9"/>
      <x:c r="B44" s="9"/>
      <x:c r="C44" s="9"/>
      <x:c r="D44" s="9"/>
      <x:c r="E44" s="9"/>
      <x:c r="F44" s="9"/>
      <x:c r="G44" s="9"/>
      <x:c r="H44" s="9"/>
    </x:row>
    <x:row r="45">
      <x:c r="A45" s="9"/>
      <x:c r="B45" s="9"/>
      <x:c r="C45" s="9"/>
      <x:c r="D45" s="9"/>
      <x:c r="E45" s="9"/>
      <x:c r="F45" s="9"/>
      <x:c r="G45" s="9"/>
      <x:c r="H45" s="9"/>
    </x:row>
    <x:row r="46">
      <x:c r="A46" s="9"/>
      <x:c r="B46" s="9"/>
      <x:c r="C46" s="9"/>
      <x:c r="D46" s="9"/>
      <x:c r="E46" s="9"/>
      <x:c r="F46" s="9"/>
      <x:c r="G46" s="9"/>
      <x:c r="H46" s="9"/>
    </x:row>
    <x:row r="47">
      <x:c r="A47" s="9"/>
      <x:c r="B47" s="9"/>
      <x:c r="C47" s="9"/>
      <x:c r="D47" s="9"/>
      <x:c r="E47" s="9"/>
      <x:c r="F47" s="9"/>
      <x:c r="G47" s="9"/>
      <x:c r="H47" s="9"/>
    </x:row>
    <x:row r="48">
      <x:c r="A48" s="9"/>
      <x:c r="B48" s="9"/>
      <x:c r="C48" s="9"/>
      <x:c r="D48" s="9"/>
      <x:c r="E48" s="9"/>
      <x:c r="F48" s="9"/>
      <x:c r="G48" s="9"/>
      <x:c r="H48" s="9"/>
    </x:row>
    <x:row r="49">
      <x:c r="A49" s="9"/>
      <x:c r="B49" s="9"/>
      <x:c r="C49" s="9"/>
      <x:c r="D49" s="9"/>
      <x:c r="E49" s="9"/>
      <x:c r="F49" s="9"/>
      <x:c r="G49" s="9"/>
      <x:c r="H49" s="9"/>
    </x:row>
    <x:row r="50">
      <x:c r="A50" s="9"/>
      <x:c r="B50" s="9"/>
      <x:c r="C50" s="9"/>
      <x:c r="D50" s="9"/>
      <x:c r="E50" s="9"/>
      <x:c r="F50" s="9"/>
      <x:c r="G50" s="9"/>
      <x:c r="H50" s="9"/>
    </x:row>
    <x:row r="51">
      <x:c r="A51" s="9"/>
      <x:c r="B51" s="9"/>
      <x:c r="C51" s="9"/>
      <x:c r="D51" s="9"/>
      <x:c r="E51" s="9"/>
      <x:c r="F51" s="9"/>
      <x:c r="G51" s="9"/>
      <x:c r="H51" s="9"/>
    </x:row>
    <x:row r="52">
      <x:c r="A52" s="9"/>
      <x:c r="B52" s="9"/>
      <x:c r="C52" s="9"/>
      <x:c r="D52" s="9"/>
      <x:c r="E52" s="9"/>
      <x:c r="F52" s="9"/>
      <x:c r="G52" s="9"/>
      <x:c r="H52" s="9"/>
    </x:row>
    <x:row r="53">
      <x:c r="A53" s="9"/>
      <x:c r="B53" s="9"/>
      <x:c r="C53" s="9"/>
      <x:c r="D53" s="9"/>
      <x:c r="E53" s="9"/>
      <x:c r="F53" s="9"/>
      <x:c r="G53" s="9"/>
      <x:c r="H53" s="9"/>
    </x:row>
    <x:row r="54">
      <x:c r="A54" s="9"/>
      <x:c r="B54" s="9"/>
      <x:c r="C54" s="9"/>
      <x:c r="D54" s="9"/>
      <x:c r="E54" s="9"/>
      <x:c r="F54" s="9"/>
      <x:c r="G54" s="9"/>
      <x:c r="H54" s="9"/>
    </x:row>
    <x:row r="55">
      <x:c r="A55" s="9"/>
      <x:c r="B55" s="9"/>
      <x:c r="C55" s="9"/>
      <x:c r="D55" s="9"/>
      <x:c r="E55" s="9"/>
      <x:c r="F55" s="9"/>
      <x:c r="G55" s="9"/>
      <x:c r="H55" s="9"/>
    </x:row>
    <x:row r="56">
      <x:c r="A56" s="9"/>
      <x:c r="B56" s="9"/>
      <x:c r="C56" s="9"/>
      <x:c r="D56" s="9"/>
      <x:c r="E56" s="9"/>
      <x:c r="F56" s="9"/>
      <x:c r="G56" s="9"/>
      <x:c r="H56" s="9"/>
    </x:row>
    <x:row r="57">
      <x:c r="A57" s="9"/>
      <x:c r="B57" s="9"/>
      <x:c r="C57" s="9"/>
      <x:c r="D57" s="9"/>
      <x:c r="E57" s="9"/>
      <x:c r="F57" s="9"/>
      <x:c r="G57" s="9"/>
      <x:c r="H57" s="9"/>
    </x:row>
    <x:row r="58">
      <x:c r="A58" s="9"/>
      <x:c r="B58" s="9"/>
      <x:c r="C58" s="9"/>
      <x:c r="D58" s="9"/>
      <x:c r="E58" s="9"/>
      <x:c r="F58" s="9"/>
      <x:c r="G58" s="9"/>
      <x:c r="H58" s="9"/>
    </x:row>
    <x:row r="59">
      <x:c r="A59" s="9"/>
      <x:c r="B59" s="9"/>
      <x:c r="C59" s="9"/>
      <x:c r="D59" s="9"/>
      <x:c r="E59" s="9"/>
      <x:c r="F59" s="9"/>
      <x:c r="G59" s="9"/>
      <x:c r="H59" s="9"/>
    </x:row>
    <x:row r="60">
      <x:c r="A60" s="9"/>
      <x:c r="B60" s="9"/>
      <x:c r="C60" s="9"/>
      <x:c r="D60" s="9"/>
      <x:c r="E60" s="9"/>
      <x:c r="F60" s="9"/>
      <x:c r="G60" s="9"/>
      <x:c r="H60" s="9"/>
    </x:row>
    <x:row r="61">
      <x:c r="A61" s="9"/>
      <x:c r="B61" s="9"/>
      <x:c r="C61" s="9"/>
      <x:c r="D61" s="9"/>
      <x:c r="E61" s="9"/>
      <x:c r="F61" s="9"/>
      <x:c r="G61" s="9"/>
      <x:c r="H61" s="9"/>
    </x:row>
    <x:row r="62">
      <x:c r="A62" s="9"/>
      <x:c r="B62" s="9"/>
      <x:c r="C62" s="9"/>
      <x:c r="D62" s="9"/>
      <x:c r="E62" s="9"/>
      <x:c r="F62" s="9"/>
      <x:c r="G62" s="9"/>
      <x:c r="H62" s="9"/>
    </x:row>
    <x:row r="63">
      <x:c r="A63" s="9"/>
      <x:c r="B63" s="9"/>
      <x:c r="C63" s="9"/>
      <x:c r="D63" s="9"/>
      <x:c r="E63" s="9"/>
      <x:c r="F63" s="9"/>
      <x:c r="G63" s="9"/>
      <x:c r="H63" s="9"/>
    </x:row>
    <x:row r="64">
      <x:c r="A64" s="9"/>
      <x:c r="B64" s="9"/>
      <x:c r="C64" s="9"/>
      <x:c r="D64" s="9"/>
      <x:c r="E64" s="9"/>
      <x:c r="F64" s="9"/>
      <x:c r="G64" s="9"/>
      <x:c r="H64" s="9"/>
    </x:row>
    <x:row r="65">
      <x:c r="A65" s="9"/>
      <x:c r="B65" s="9"/>
      <x:c r="C65" s="9"/>
      <x:c r="D65" s="9"/>
      <x:c r="E65" s="9"/>
      <x:c r="F65" s="9"/>
      <x:c r="G65" s="9"/>
      <x:c r="H65" s="9"/>
    </x:row>
    <x:row r="66">
      <x:c r="A66" s="9"/>
      <x:c r="B66" s="9"/>
      <x:c r="C66" s="9"/>
      <x:c r="D66" s="9"/>
      <x:c r="E66" s="9"/>
      <x:c r="F66" s="9"/>
      <x:c r="G66" s="9"/>
      <x:c r="H66" s="9"/>
    </x:row>
    <x:row r="67">
      <x:c r="A67" s="9"/>
      <x:c r="B67" s="9"/>
      <x:c r="C67" s="9"/>
      <x:c r="D67" s="9"/>
      <x:c r="E67" s="9"/>
      <x:c r="F67" s="9"/>
      <x:c r="G67" s="9"/>
      <x:c r="H67" s="9"/>
    </x:row>
    <x:row r="68">
      <x:c r="A68" s="9"/>
      <x:c r="B68" s="9"/>
      <x:c r="C68" s="9"/>
      <x:c r="D68" s="9"/>
      <x:c r="E68" s="9"/>
      <x:c r="F68" s="9"/>
      <x:c r="G68" s="9"/>
      <x:c r="H68" s="9"/>
    </x:row>
    <x:row r="69">
      <x:c r="A69" s="9"/>
      <x:c r="B69" s="9"/>
      <x:c r="C69" s="9"/>
      <x:c r="D69" s="9"/>
      <x:c r="E69" s="9"/>
      <x:c r="F69" s="9"/>
      <x:c r="G69" s="9"/>
      <x:c r="H69" s="9"/>
    </x:row>
    <x:row r="70">
      <x:c r="A70" s="9"/>
      <x:c r="B70" s="9"/>
      <x:c r="C70" s="9"/>
      <x:c r="D70" s="9"/>
      <x:c r="E70" s="9"/>
      <x:c r="F70" s="9"/>
      <x:c r="G70" s="9"/>
      <x:c r="H70" s="9"/>
    </x:row>
    <x:row r="71">
      <x:c r="A71" s="9"/>
      <x:c r="B71" s="9"/>
      <x:c r="C71" s="9"/>
      <x:c r="D71" s="9"/>
      <x:c r="E71" s="9"/>
      <x:c r="F71" s="9"/>
      <x:c r="G71" s="9"/>
      <x:c r="H71" s="9"/>
    </x:row>
    <x:row r="72">
      <x:c r="A72" s="9"/>
      <x:c r="B72" s="9"/>
      <x:c r="C72" s="9"/>
      <x:c r="D72" s="9"/>
      <x:c r="E72" s="9"/>
      <x:c r="F72" s="9"/>
      <x:c r="G72" s="9"/>
      <x:c r="H72" s="9"/>
    </x:row>
    <x:row r="73">
      <x:c r="A73" s="9"/>
      <x:c r="B73" s="9"/>
      <x:c r="C73" s="9"/>
      <x:c r="D73" s="9"/>
      <x:c r="E73" s="9"/>
      <x:c r="F73" s="9"/>
      <x:c r="G73" s="9"/>
      <x:c r="H73" s="9"/>
    </x:row>
    <x:row r="74">
      <x:c r="A74" s="9"/>
      <x:c r="B74" s="9"/>
      <x:c r="C74" s="9"/>
      <x:c r="D74" s="9"/>
      <x:c r="E74" s="9"/>
      <x:c r="F74" s="9"/>
      <x:c r="G74" s="9"/>
      <x:c r="H74" s="9"/>
    </x:row>
    <x:row r="75">
      <x:c r="A75" s="9"/>
      <x:c r="B75" s="9"/>
      <x:c r="C75" s="9"/>
      <x:c r="D75" s="9"/>
      <x:c r="E75" s="9"/>
      <x:c r="F75" s="9"/>
      <x:c r="G75" s="9"/>
      <x:c r="H75" s="9"/>
    </x:row>
    <x:row r="76">
      <x:c r="A76" s="9"/>
      <x:c r="B76" s="9"/>
      <x:c r="C76" s="9"/>
      <x:c r="D76" s="9"/>
      <x:c r="E76" s="9"/>
      <x:c r="F76" s="9"/>
      <x:c r="G76" s="9"/>
      <x:c r="H76" s="9"/>
    </x:row>
    <x:row r="77">
      <x:c r="A77" s="9"/>
      <x:c r="B77" s="9"/>
      <x:c r="C77" s="9"/>
      <x:c r="D77" s="9"/>
      <x:c r="E77" s="9"/>
      <x:c r="F77" s="9"/>
      <x:c r="G77" s="9"/>
      <x:c r="H77" s="9"/>
    </x:row>
    <x:row r="78">
      <x:c r="A78" s="9"/>
      <x:c r="B78" s="9"/>
      <x:c r="C78" s="9"/>
      <x:c r="D78" s="9"/>
      <x:c r="E78" s="9"/>
      <x:c r="F78" s="9"/>
      <x:c r="G78" s="9"/>
      <x:c r="H78" s="9"/>
    </x:row>
    <x:row r="79">
      <x:c r="A79" s="9"/>
      <x:c r="B79" s="9"/>
      <x:c r="C79" s="9"/>
      <x:c r="D79" s="9"/>
      <x:c r="E79" s="9"/>
      <x:c r="F79" s="9"/>
      <x:c r="G79" s="9"/>
      <x:c r="H79" s="9"/>
    </x:row>
    <x:row r="80">
      <x:c r="A80" s="9"/>
      <x:c r="B80" s="9"/>
      <x:c r="C80" s="9"/>
      <x:c r="D80" s="9"/>
      <x:c r="E80" s="9"/>
      <x:c r="F80" s="9"/>
      <x:c r="G80" s="9"/>
      <x:c r="H80" s="9"/>
    </x:row>
  </x:sheetData>
  <x:mergeCells>
    <x:mergeCell ref="A1:H1"/>
    <x:mergeCell ref="A2:H2"/>
    <x:mergeCell ref="A4:H4"/>
    <x:mergeCell ref="A10:H10"/>
    <x:mergeCell ref="A16:H16"/>
  </x:mergeCells>
  <x:pageMargins left="0.7" right="0.7" top="0.75" bottom="0.75" header="0.3" footer="0.3"/>
</x:worksheet>
</file>